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360" yWindow="300" windowWidth="18732" windowHeight="11700"/>
  </bookViews>
  <sheets>
    <sheet name="Foglio1" sheetId="1" r:id="rId1"/>
    <sheet name="Foglio2" sheetId="2" r:id="rId2"/>
    <sheet name="Foglio3" sheetId="3" r:id="rId3"/>
  </sheets>
  <calcPr calcId="125725"/>
</workbook>
</file>

<file path=xl/calcChain.xml><?xml version="1.0" encoding="utf-8"?>
<calcChain xmlns="http://schemas.openxmlformats.org/spreadsheetml/2006/main">
  <c r="M29" i="1"/>
  <c r="N29" s="1"/>
  <c r="T21"/>
  <c r="S21"/>
  <c r="N21"/>
  <c r="M21"/>
  <c r="H21"/>
  <c r="S18"/>
  <c r="T18" s="1"/>
  <c r="M18"/>
  <c r="N18" s="1"/>
  <c r="T15"/>
  <c r="S15"/>
  <c r="N15"/>
  <c r="M15"/>
  <c r="H15"/>
  <c r="S17"/>
  <c r="T17" s="1"/>
  <c r="M17"/>
  <c r="N17" s="1"/>
  <c r="H17"/>
  <c r="T16"/>
  <c r="S16"/>
  <c r="M16"/>
  <c r="N16" s="1"/>
  <c r="H16"/>
  <c r="S12"/>
  <c r="T12" s="1"/>
  <c r="M12"/>
  <c r="N12" s="1"/>
  <c r="H12"/>
  <c r="H9"/>
  <c r="S14"/>
  <c r="T14" s="1"/>
  <c r="S9"/>
  <c r="T9" s="1"/>
  <c r="M9"/>
  <c r="N9" s="1"/>
  <c r="M14"/>
  <c r="N14" s="1"/>
  <c r="S30"/>
  <c r="T30" s="1"/>
  <c r="S13"/>
  <c r="T13" s="1"/>
  <c r="M13"/>
  <c r="N13" s="1"/>
  <c r="H13"/>
  <c r="M30"/>
  <c r="N30" s="1"/>
  <c r="H30"/>
  <c r="H14"/>
  <c r="H18"/>
  <c r="H34"/>
  <c r="H35"/>
  <c r="H36"/>
  <c r="H37"/>
  <c r="H38"/>
  <c r="S22"/>
  <c r="T22" s="1"/>
  <c r="M22"/>
  <c r="N22" s="1"/>
  <c r="H22"/>
  <c r="H24"/>
  <c r="S11"/>
  <c r="T11" s="1"/>
  <c r="M11"/>
  <c r="N11" s="1"/>
  <c r="H11"/>
  <c r="S23"/>
  <c r="T23" s="1"/>
  <c r="M23"/>
  <c r="N23" s="1"/>
  <c r="S10"/>
  <c r="T10" s="1"/>
  <c r="M10"/>
  <c r="N10" s="1"/>
  <c r="H10"/>
  <c r="H23"/>
  <c r="S29"/>
  <c r="T29" s="1"/>
  <c r="H29"/>
  <c r="S28"/>
  <c r="T28" s="1"/>
  <c r="M28"/>
  <c r="N28" s="1"/>
  <c r="H28"/>
  <c r="S27"/>
  <c r="T27" s="1"/>
  <c r="M27"/>
  <c r="N27" s="1"/>
  <c r="H27"/>
  <c r="S33"/>
  <c r="T33" s="1"/>
  <c r="M33"/>
  <c r="N33" s="1"/>
  <c r="H33"/>
  <c r="S26"/>
  <c r="T26" s="1"/>
  <c r="M26"/>
  <c r="N26" s="1"/>
  <c r="H26"/>
  <c r="S25"/>
  <c r="T25" s="1"/>
  <c r="M25"/>
  <c r="N25" s="1"/>
  <c r="H25"/>
  <c r="S24"/>
  <c r="T24" s="1"/>
  <c r="M24"/>
  <c r="N24" s="1"/>
  <c r="S19"/>
  <c r="T19" s="1"/>
  <c r="M19"/>
  <c r="N19" s="1"/>
  <c r="H19"/>
  <c r="S20"/>
  <c r="T20" s="1"/>
  <c r="M20"/>
  <c r="N20" s="1"/>
  <c r="H20"/>
  <c r="S8"/>
  <c r="T8" s="1"/>
  <c r="M8"/>
  <c r="N8" s="1"/>
  <c r="H8"/>
  <c r="S7"/>
  <c r="T7" s="1"/>
  <c r="M7"/>
  <c r="N7" s="1"/>
  <c r="H7"/>
  <c r="S6"/>
  <c r="T6" s="1"/>
  <c r="M6"/>
  <c r="N6" s="1"/>
  <c r="H6"/>
  <c r="S5"/>
  <c r="T5" s="1"/>
  <c r="M5"/>
  <c r="N5" s="1"/>
  <c r="H5"/>
  <c r="S4"/>
  <c r="T4" s="1"/>
  <c r="M4"/>
  <c r="N4" s="1"/>
  <c r="H4"/>
</calcChain>
</file>

<file path=xl/sharedStrings.xml><?xml version="1.0" encoding="utf-8"?>
<sst xmlns="http://schemas.openxmlformats.org/spreadsheetml/2006/main" count="204" uniqueCount="123">
  <si>
    <t>Giocatore</t>
  </si>
  <si>
    <t>N. di maglia</t>
  </si>
  <si>
    <t>Presenze</t>
  </si>
  <si>
    <t>Gol</t>
  </si>
  <si>
    <t xml:space="preserve">     Assist</t>
  </si>
  <si>
    <t xml:space="preserve">             Cartellini</t>
  </si>
  <si>
    <t>Amichevoli</t>
  </si>
  <si>
    <t>Campionato</t>
  </si>
  <si>
    <t>Totali</t>
  </si>
  <si>
    <t>Precedenti</t>
  </si>
  <si>
    <t xml:space="preserve">      Gialli</t>
  </si>
  <si>
    <t xml:space="preserve">      Rossi</t>
  </si>
  <si>
    <t>Matteo Torretta</t>
  </si>
  <si>
    <t>Davide Scocco</t>
  </si>
  <si>
    <t>Matteo Cutroni</t>
  </si>
  <si>
    <t>Giuseppe D'Amato</t>
  </si>
  <si>
    <t>Alessio Ciolli</t>
  </si>
  <si>
    <t>Luca Coddetta</t>
  </si>
  <si>
    <t>Marco Gioffredi</t>
  </si>
  <si>
    <t>Giorgio Caron</t>
  </si>
  <si>
    <t>Leonardo D'Ippolito</t>
  </si>
  <si>
    <t>Antonio Epifani</t>
  </si>
  <si>
    <t>Michele Botta</t>
  </si>
  <si>
    <t>Francesco Colella</t>
  </si>
  <si>
    <t>Alessandro Giacomelli</t>
  </si>
  <si>
    <t>Daniele Gemin</t>
  </si>
  <si>
    <t>Giovanni Marta</t>
  </si>
  <si>
    <t>Francesco</t>
  </si>
  <si>
    <t>Matteo Bacino</t>
  </si>
  <si>
    <t>Gianluca Landi</t>
  </si>
  <si>
    <t>Edoardo Monetti</t>
  </si>
  <si>
    <t>Joey Giammari</t>
  </si>
  <si>
    <t>Sporting Roma</t>
  </si>
  <si>
    <t>6-0</t>
  </si>
  <si>
    <t>Tamarindi FC</t>
  </si>
  <si>
    <t>Family Matters</t>
  </si>
  <si>
    <t>3-2</t>
  </si>
  <si>
    <t>Giacomelli</t>
  </si>
  <si>
    <t>D'Ippolito (2)</t>
  </si>
  <si>
    <t xml:space="preserve">     1-4</t>
  </si>
  <si>
    <t>Manchester United</t>
  </si>
  <si>
    <t>Coddetta</t>
  </si>
  <si>
    <t>Marino Conti</t>
  </si>
  <si>
    <t>Campionato Tornei Conti</t>
  </si>
  <si>
    <t>Bayern Monaco</t>
  </si>
  <si>
    <t xml:space="preserve">     0-4</t>
  </si>
  <si>
    <t>Alessandro Del Boccio</t>
  </si>
  <si>
    <t>Marsiglia</t>
  </si>
  <si>
    <t xml:space="preserve">     3-4</t>
  </si>
  <si>
    <t>Scocco</t>
  </si>
  <si>
    <t>Botta</t>
  </si>
  <si>
    <t>Giacomelli (2)</t>
  </si>
  <si>
    <t>Newcastle</t>
  </si>
  <si>
    <t xml:space="preserve">     0-5</t>
  </si>
  <si>
    <t>Fiorentina</t>
  </si>
  <si>
    <t xml:space="preserve">     8-3</t>
  </si>
  <si>
    <t>Gioffredi (2)</t>
  </si>
  <si>
    <t>D'Ippolito</t>
  </si>
  <si>
    <t xml:space="preserve">     1-2</t>
  </si>
  <si>
    <t>Gioffredi</t>
  </si>
  <si>
    <t>Sporting Lisbona</t>
  </si>
  <si>
    <t>Conti</t>
  </si>
  <si>
    <t xml:space="preserve">     3-3</t>
  </si>
  <si>
    <t>Rangers</t>
  </si>
  <si>
    <t xml:space="preserve">     0-2</t>
  </si>
  <si>
    <t>Federico Fasciani</t>
  </si>
  <si>
    <t xml:space="preserve">    4-3</t>
  </si>
  <si>
    <t>Benfica</t>
  </si>
  <si>
    <t>Caron</t>
  </si>
  <si>
    <t>Fasciani</t>
  </si>
  <si>
    <t>Barcellona</t>
  </si>
  <si>
    <t xml:space="preserve">    0-2</t>
  </si>
  <si>
    <t>Napoli</t>
  </si>
  <si>
    <t xml:space="preserve">     1-8</t>
  </si>
  <si>
    <t>Pietravalle</t>
  </si>
  <si>
    <t>Michele D'Ippolito</t>
  </si>
  <si>
    <t>Alessandro Pietravalle</t>
  </si>
  <si>
    <t>Fabio Iannuccelli</t>
  </si>
  <si>
    <t>Chelsea</t>
  </si>
  <si>
    <t xml:space="preserve">     3-5</t>
  </si>
  <si>
    <t>Gioffredi [R]</t>
  </si>
  <si>
    <t>Brighton</t>
  </si>
  <si>
    <t>Coddetta (2)</t>
  </si>
  <si>
    <t>Roma</t>
  </si>
  <si>
    <t xml:space="preserve">     3-7</t>
  </si>
  <si>
    <t>Lorenzo Riccobon</t>
  </si>
  <si>
    <t>Mario Lucente</t>
  </si>
  <si>
    <t>Flavio Di Fonso</t>
  </si>
  <si>
    <t xml:space="preserve">     8-1</t>
  </si>
  <si>
    <t>E. Francoforte</t>
  </si>
  <si>
    <t>Ajax</t>
  </si>
  <si>
    <t xml:space="preserve">    2-3</t>
  </si>
  <si>
    <t xml:space="preserve">     6-3</t>
  </si>
  <si>
    <t>Girone Europa League</t>
  </si>
  <si>
    <t>Olympique Lione</t>
  </si>
  <si>
    <t xml:space="preserve">    5-0</t>
  </si>
  <si>
    <t>Valerio Montanari</t>
  </si>
  <si>
    <t xml:space="preserve">     3-2</t>
  </si>
  <si>
    <t>Liverpool</t>
  </si>
  <si>
    <t xml:space="preserve">     2-1</t>
  </si>
  <si>
    <t>Andrea Sterpa</t>
  </si>
  <si>
    <t>Bayer Leverkusen</t>
  </si>
  <si>
    <t>Cannizzaro</t>
  </si>
  <si>
    <t xml:space="preserve">    5-4</t>
  </si>
  <si>
    <t>Atletico Madrid</t>
  </si>
  <si>
    <t xml:space="preserve">     1-3</t>
  </si>
  <si>
    <t xml:space="preserve">    8-3</t>
  </si>
  <si>
    <t>Giammari</t>
  </si>
  <si>
    <t>D'Ippolito M.</t>
  </si>
  <si>
    <t>D'Ippolito L.</t>
  </si>
  <si>
    <t>Emiliano Benedetti</t>
  </si>
  <si>
    <t>Juventus</t>
  </si>
  <si>
    <t xml:space="preserve">     2-2</t>
  </si>
  <si>
    <t>Atalanta</t>
  </si>
  <si>
    <t xml:space="preserve">     5-1</t>
  </si>
  <si>
    <t>Swansea</t>
  </si>
  <si>
    <t>Colella</t>
  </si>
  <si>
    <t xml:space="preserve">     2-4</t>
  </si>
  <si>
    <t xml:space="preserve">    2-5</t>
  </si>
  <si>
    <t>D'Ippolito M. (2)</t>
  </si>
  <si>
    <t xml:space="preserve">     4-1</t>
  </si>
  <si>
    <t>Totali 23/24</t>
  </si>
  <si>
    <t>Luca Cannizzaro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</si>
</sst>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11"/>
      <color theme="1"/>
      <name val="Bahnschrift Condensed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Fill="1"/>
    <xf numFmtId="14" fontId="2" fillId="0" borderId="0" xfId="0" applyNumberFormat="1" applyFont="1"/>
    <xf numFmtId="0" fontId="2" fillId="2" borderId="0" xfId="0" applyFont="1" applyFill="1"/>
    <xf numFmtId="0" fontId="2" fillId="3" borderId="0" xfId="0" applyFont="1" applyFill="1"/>
    <xf numFmtId="0" fontId="2" fillId="0" borderId="0" xfId="0" applyNumberFormat="1" applyFont="1"/>
    <xf numFmtId="49" fontId="2" fillId="0" borderId="0" xfId="0" applyNumberFormat="1" applyFont="1" applyAlignment="1">
      <alignment horizontal="center"/>
    </xf>
    <xf numFmtId="16" fontId="2" fillId="0" borderId="0" xfId="0" applyNumberFormat="1" applyFont="1" applyAlignment="1"/>
  </cellXfs>
  <cellStyles count="1"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821"/>
  <sheetViews>
    <sheetView tabSelected="1" topLeftCell="A38" workbookViewId="0">
      <selection activeCell="E38" sqref="E38"/>
    </sheetView>
  </sheetViews>
  <sheetFormatPr defaultRowHeight="14.4"/>
  <cols>
    <col min="1" max="1" width="11.21875" bestFit="1" customWidth="1"/>
  </cols>
  <sheetData>
    <row r="1" spans="1:24">
      <c r="A1" s="1" t="s">
        <v>0</v>
      </c>
      <c r="B1" s="1"/>
      <c r="C1" s="1"/>
      <c r="D1" s="1" t="s">
        <v>1</v>
      </c>
      <c r="E1" s="1"/>
      <c r="F1" s="2"/>
      <c r="G1" s="3" t="s">
        <v>2</v>
      </c>
      <c r="H1" s="2"/>
      <c r="I1" s="1"/>
      <c r="J1" s="1"/>
      <c r="K1" s="3"/>
      <c r="L1" s="3" t="s">
        <v>3</v>
      </c>
      <c r="M1" s="1"/>
      <c r="N1" s="1"/>
      <c r="O1" s="1"/>
      <c r="P1" s="1"/>
      <c r="Q1" s="1"/>
      <c r="R1" s="1" t="s">
        <v>4</v>
      </c>
      <c r="S1" s="1"/>
      <c r="T1" s="1"/>
      <c r="U1" s="1"/>
      <c r="V1" s="1" t="s">
        <v>5</v>
      </c>
      <c r="W1" s="1"/>
      <c r="X1" s="1"/>
    </row>
    <row r="2" spans="1:24">
      <c r="A2" s="1"/>
      <c r="B2" s="1"/>
      <c r="C2" s="1"/>
      <c r="D2" s="1"/>
      <c r="E2" s="1"/>
      <c r="F2" s="3" t="s">
        <v>6</v>
      </c>
      <c r="G2" s="3" t="s">
        <v>7</v>
      </c>
      <c r="H2" s="3" t="s">
        <v>8</v>
      </c>
      <c r="I2" s="1"/>
      <c r="J2" s="3" t="s">
        <v>9</v>
      </c>
      <c r="K2" s="3" t="s">
        <v>6</v>
      </c>
      <c r="L2" s="3" t="s">
        <v>7</v>
      </c>
      <c r="M2" s="3" t="s">
        <v>121</v>
      </c>
      <c r="N2" s="3" t="s">
        <v>8</v>
      </c>
      <c r="O2" s="3"/>
      <c r="P2" s="3" t="s">
        <v>9</v>
      </c>
      <c r="Q2" s="3" t="s">
        <v>6</v>
      </c>
      <c r="R2" s="3" t="s">
        <v>7</v>
      </c>
      <c r="S2" s="3" t="s">
        <v>121</v>
      </c>
      <c r="T2" s="3" t="s">
        <v>8</v>
      </c>
      <c r="U2" s="1"/>
      <c r="V2" s="1" t="s">
        <v>10</v>
      </c>
      <c r="W2" s="1" t="s">
        <v>11</v>
      </c>
      <c r="X2" s="1"/>
    </row>
    <row r="3" spans="1:24">
      <c r="A3" s="4"/>
      <c r="B3" s="4"/>
      <c r="C3" s="4"/>
      <c r="D3" s="4"/>
      <c r="E3" s="4"/>
      <c r="F3" s="4"/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>
      <c r="A4" s="6" t="s">
        <v>12</v>
      </c>
      <c r="B4" s="6"/>
      <c r="C4" s="6"/>
      <c r="D4" s="6">
        <v>1</v>
      </c>
      <c r="E4" s="6"/>
      <c r="F4" s="6">
        <v>2</v>
      </c>
      <c r="G4" s="6">
        <v>19</v>
      </c>
      <c r="H4" s="6">
        <f t="shared" ref="H4:H28" si="0">SUM(F4:G4)</f>
        <v>21</v>
      </c>
      <c r="I4" s="6"/>
      <c r="J4" s="6"/>
      <c r="K4" s="6"/>
      <c r="L4" s="6"/>
      <c r="M4" s="6">
        <f t="shared" ref="M4:M6" si="1">SUM(K4:L4)</f>
        <v>0</v>
      </c>
      <c r="N4" s="6">
        <f t="shared" ref="N4:N26" si="2">SUM(J4,M4)</f>
        <v>0</v>
      </c>
      <c r="O4" s="6"/>
      <c r="P4" s="6">
        <v>1</v>
      </c>
      <c r="Q4" s="6"/>
      <c r="R4" s="6">
        <v>1</v>
      </c>
      <c r="S4" s="6">
        <f t="shared" ref="S4:S28" si="3">SUM(Q4,R4)</f>
        <v>1</v>
      </c>
      <c r="T4" s="6">
        <f t="shared" ref="T4:T28" si="4">SUM(P4,S4)</f>
        <v>2</v>
      </c>
      <c r="U4" s="6"/>
      <c r="V4" s="6"/>
      <c r="W4" s="6"/>
      <c r="X4" s="6"/>
    </row>
    <row r="5" spans="1:24">
      <c r="A5" s="6" t="s">
        <v>13</v>
      </c>
      <c r="B5" s="6"/>
      <c r="C5" s="6"/>
      <c r="D5" s="6">
        <v>33</v>
      </c>
      <c r="E5" s="6"/>
      <c r="F5" s="6">
        <v>3</v>
      </c>
      <c r="G5" s="6">
        <v>27</v>
      </c>
      <c r="H5" s="6">
        <f t="shared" si="0"/>
        <v>30</v>
      </c>
      <c r="I5" s="6"/>
      <c r="J5" s="6">
        <v>5</v>
      </c>
      <c r="K5" s="6"/>
      <c r="L5" s="6">
        <v>2</v>
      </c>
      <c r="M5" s="6">
        <f>SUM(K5,L5)</f>
        <v>2</v>
      </c>
      <c r="N5" s="6">
        <f t="shared" si="2"/>
        <v>7</v>
      </c>
      <c r="O5" s="6"/>
      <c r="P5" s="6">
        <v>3</v>
      </c>
      <c r="Q5" s="6"/>
      <c r="R5" s="6">
        <v>3</v>
      </c>
      <c r="S5" s="6">
        <f t="shared" si="3"/>
        <v>3</v>
      </c>
      <c r="T5" s="6">
        <f t="shared" si="4"/>
        <v>6</v>
      </c>
      <c r="U5" s="6"/>
      <c r="V5" s="6"/>
      <c r="W5" s="6"/>
      <c r="X5" s="6"/>
    </row>
    <row r="6" spans="1:24">
      <c r="A6" s="6" t="s">
        <v>14</v>
      </c>
      <c r="B6" s="6"/>
      <c r="C6" s="6"/>
      <c r="D6" s="6">
        <v>5</v>
      </c>
      <c r="E6" s="6"/>
      <c r="F6" s="6"/>
      <c r="G6" s="6">
        <v>9</v>
      </c>
      <c r="H6" s="6">
        <f t="shared" si="0"/>
        <v>9</v>
      </c>
      <c r="I6" s="6"/>
      <c r="J6" s="6"/>
      <c r="K6" s="6"/>
      <c r="L6" s="6"/>
      <c r="M6" s="6">
        <f t="shared" si="1"/>
        <v>0</v>
      </c>
      <c r="N6" s="6">
        <f t="shared" si="2"/>
        <v>0</v>
      </c>
      <c r="O6" s="6"/>
      <c r="P6" s="6">
        <v>1</v>
      </c>
      <c r="Q6" s="6"/>
      <c r="R6" s="6"/>
      <c r="S6" s="6">
        <f t="shared" si="3"/>
        <v>0</v>
      </c>
      <c r="T6" s="6">
        <f t="shared" si="4"/>
        <v>1</v>
      </c>
      <c r="U6" s="6"/>
      <c r="V6" s="6"/>
      <c r="W6" s="6"/>
      <c r="X6" s="6"/>
    </row>
    <row r="7" spans="1:24">
      <c r="A7" s="6" t="s">
        <v>15</v>
      </c>
      <c r="B7" s="6"/>
      <c r="C7" s="6"/>
      <c r="D7" s="6">
        <v>3</v>
      </c>
      <c r="E7" s="6"/>
      <c r="F7" s="6">
        <v>2</v>
      </c>
      <c r="G7" s="6">
        <v>11</v>
      </c>
      <c r="H7" s="6">
        <f t="shared" si="0"/>
        <v>13</v>
      </c>
      <c r="I7" s="6"/>
      <c r="J7" s="6">
        <v>1</v>
      </c>
      <c r="K7" s="6"/>
      <c r="L7" s="6"/>
      <c r="M7" s="6">
        <f t="shared" ref="M7:M13" si="5">SUM(K7,L7)</f>
        <v>0</v>
      </c>
      <c r="N7" s="6">
        <f t="shared" si="2"/>
        <v>1</v>
      </c>
      <c r="O7" s="6"/>
      <c r="P7" s="6">
        <v>0</v>
      </c>
      <c r="Q7" s="6"/>
      <c r="R7" s="6"/>
      <c r="S7" s="6">
        <f t="shared" si="3"/>
        <v>0</v>
      </c>
      <c r="T7" s="6">
        <f t="shared" si="4"/>
        <v>0</v>
      </c>
      <c r="U7" s="6"/>
      <c r="V7" s="6"/>
      <c r="W7" s="6"/>
      <c r="X7" s="6"/>
    </row>
    <row r="8" spans="1:24">
      <c r="A8" s="6" t="s">
        <v>16</v>
      </c>
      <c r="B8" s="6"/>
      <c r="C8" s="6"/>
      <c r="D8" s="6">
        <v>15</v>
      </c>
      <c r="E8" s="6"/>
      <c r="F8" s="6">
        <v>2</v>
      </c>
      <c r="G8" s="6">
        <v>5</v>
      </c>
      <c r="H8" s="6">
        <f t="shared" si="0"/>
        <v>7</v>
      </c>
      <c r="I8" s="6"/>
      <c r="J8" s="6"/>
      <c r="K8" s="6"/>
      <c r="L8" s="6"/>
      <c r="M8" s="6">
        <f t="shared" si="5"/>
        <v>0</v>
      </c>
      <c r="N8" s="6">
        <f t="shared" si="2"/>
        <v>0</v>
      </c>
      <c r="O8" s="6"/>
      <c r="P8" s="6">
        <v>8</v>
      </c>
      <c r="Q8" s="6"/>
      <c r="R8" s="6"/>
      <c r="S8" s="6">
        <f t="shared" si="3"/>
        <v>0</v>
      </c>
      <c r="T8" s="6">
        <f t="shared" si="4"/>
        <v>8</v>
      </c>
      <c r="U8" s="6"/>
      <c r="V8" s="6"/>
      <c r="W8" s="6"/>
      <c r="X8" s="6"/>
    </row>
    <row r="9" spans="1:24">
      <c r="A9" s="6" t="s">
        <v>77</v>
      </c>
      <c r="B9" s="6"/>
      <c r="C9" s="6"/>
      <c r="D9" s="6">
        <v>16</v>
      </c>
      <c r="E9" s="6"/>
      <c r="F9" s="6"/>
      <c r="G9" s="6">
        <v>7</v>
      </c>
      <c r="H9" s="6">
        <f t="shared" si="0"/>
        <v>7</v>
      </c>
      <c r="I9" s="6"/>
      <c r="J9" s="6">
        <v>1</v>
      </c>
      <c r="K9" s="6"/>
      <c r="L9" s="6"/>
      <c r="M9" s="6">
        <f t="shared" si="5"/>
        <v>0</v>
      </c>
      <c r="N9" s="6">
        <f t="shared" si="2"/>
        <v>1</v>
      </c>
      <c r="O9" s="6"/>
      <c r="P9" s="6"/>
      <c r="Q9" s="6"/>
      <c r="R9" s="6">
        <v>1</v>
      </c>
      <c r="S9" s="6">
        <f t="shared" si="3"/>
        <v>1</v>
      </c>
      <c r="T9" s="6">
        <f t="shared" si="4"/>
        <v>1</v>
      </c>
      <c r="U9" s="6"/>
      <c r="V9" s="6"/>
      <c r="W9" s="6"/>
      <c r="X9" s="6"/>
    </row>
    <row r="10" spans="1:24">
      <c r="A10" s="6" t="s">
        <v>46</v>
      </c>
      <c r="B10" s="6"/>
      <c r="C10" s="6"/>
      <c r="D10" s="6">
        <v>23</v>
      </c>
      <c r="E10" s="6"/>
      <c r="F10" s="6"/>
      <c r="G10" s="6">
        <v>5</v>
      </c>
      <c r="H10" s="6">
        <f>SUM(F10,G10)</f>
        <v>5</v>
      </c>
      <c r="I10" s="6"/>
      <c r="J10" s="6"/>
      <c r="K10" s="6"/>
      <c r="L10" s="6"/>
      <c r="M10" s="6">
        <f t="shared" si="5"/>
        <v>0</v>
      </c>
      <c r="N10" s="6">
        <f t="shared" ref="N10:N18" si="6">SUM(J10,M10)</f>
        <v>0</v>
      </c>
      <c r="O10" s="6"/>
      <c r="P10" s="6"/>
      <c r="Q10" s="6"/>
      <c r="R10" s="6">
        <v>1</v>
      </c>
      <c r="S10" s="6">
        <f t="shared" ref="S10:S18" si="7">SUM(Q10,R10)</f>
        <v>1</v>
      </c>
      <c r="T10" s="6">
        <f t="shared" ref="T10:T17" si="8">SUM(P10,S10)</f>
        <v>1</v>
      </c>
      <c r="U10" s="6"/>
      <c r="V10" s="6"/>
      <c r="W10" s="6"/>
      <c r="X10" s="6"/>
    </row>
    <row r="11" spans="1:24">
      <c r="A11" s="6" t="s">
        <v>87</v>
      </c>
      <c r="B11" s="6"/>
      <c r="C11" s="6"/>
      <c r="D11" s="6">
        <v>2</v>
      </c>
      <c r="E11" s="6"/>
      <c r="F11" s="6"/>
      <c r="G11" s="6">
        <v>8</v>
      </c>
      <c r="H11" s="6">
        <f>SUM(F11,G11)</f>
        <v>8</v>
      </c>
      <c r="I11" s="6"/>
      <c r="J11" s="6"/>
      <c r="K11" s="6"/>
      <c r="L11" s="6"/>
      <c r="M11" s="6">
        <f t="shared" si="5"/>
        <v>0</v>
      </c>
      <c r="N11" s="6">
        <f t="shared" si="6"/>
        <v>0</v>
      </c>
      <c r="O11" s="6"/>
      <c r="P11" s="6"/>
      <c r="Q11" s="6"/>
      <c r="R11" s="6"/>
      <c r="S11" s="6">
        <f t="shared" si="7"/>
        <v>0</v>
      </c>
      <c r="T11" s="6">
        <f t="shared" si="8"/>
        <v>0</v>
      </c>
      <c r="U11" s="6"/>
      <c r="V11" s="6"/>
      <c r="W11" s="6"/>
      <c r="X11" s="6"/>
    </row>
    <row r="12" spans="1:24">
      <c r="A12" s="6" t="s">
        <v>86</v>
      </c>
      <c r="B12" s="6"/>
      <c r="C12" s="6"/>
      <c r="D12" s="6">
        <v>12</v>
      </c>
      <c r="E12" s="6"/>
      <c r="F12" s="6"/>
      <c r="G12" s="6">
        <v>1</v>
      </c>
      <c r="H12" s="6">
        <f>SUM(F12,G12)</f>
        <v>1</v>
      </c>
      <c r="I12" s="6"/>
      <c r="J12" s="6"/>
      <c r="K12" s="6"/>
      <c r="L12" s="6"/>
      <c r="M12" s="6">
        <f t="shared" si="5"/>
        <v>0</v>
      </c>
      <c r="N12" s="6">
        <f t="shared" si="6"/>
        <v>0</v>
      </c>
      <c r="O12" s="6"/>
      <c r="P12" s="6"/>
      <c r="Q12" s="6"/>
      <c r="R12" s="6"/>
      <c r="S12" s="6">
        <f t="shared" si="7"/>
        <v>0</v>
      </c>
      <c r="T12" s="6">
        <f t="shared" si="8"/>
        <v>0</v>
      </c>
      <c r="U12" s="6"/>
      <c r="V12" s="6"/>
      <c r="W12" s="6"/>
      <c r="X12" s="6"/>
    </row>
    <row r="13" spans="1:24">
      <c r="A13" s="6" t="s">
        <v>75</v>
      </c>
      <c r="B13" s="6"/>
      <c r="C13" s="6"/>
      <c r="D13" s="6">
        <v>99</v>
      </c>
      <c r="E13" s="6"/>
      <c r="F13" s="6"/>
      <c r="G13" s="6">
        <v>5</v>
      </c>
      <c r="H13" s="6">
        <f>SUM(F13,G13)</f>
        <v>5</v>
      </c>
      <c r="I13" s="6"/>
      <c r="J13" s="6"/>
      <c r="K13" s="6"/>
      <c r="L13" s="6">
        <v>3</v>
      </c>
      <c r="M13" s="6">
        <f t="shared" si="5"/>
        <v>3</v>
      </c>
      <c r="N13" s="6">
        <f t="shared" si="6"/>
        <v>3</v>
      </c>
      <c r="O13" s="6"/>
      <c r="P13" s="6"/>
      <c r="Q13" s="6"/>
      <c r="R13" s="6">
        <v>1</v>
      </c>
      <c r="S13" s="6">
        <f t="shared" si="7"/>
        <v>1</v>
      </c>
      <c r="T13" s="6">
        <f t="shared" si="8"/>
        <v>1</v>
      </c>
      <c r="U13" s="6"/>
      <c r="V13" s="6"/>
      <c r="W13" s="6"/>
      <c r="X13" s="6"/>
    </row>
    <row r="14" spans="1:24">
      <c r="A14" s="4" t="s">
        <v>30</v>
      </c>
      <c r="B14" s="4"/>
      <c r="C14" s="4"/>
      <c r="D14" s="4">
        <v>14</v>
      </c>
      <c r="E14" s="4"/>
      <c r="F14" s="4">
        <v>1</v>
      </c>
      <c r="G14" s="4">
        <v>1</v>
      </c>
      <c r="H14" s="6">
        <f>SUM(F14:G14)</f>
        <v>2</v>
      </c>
      <c r="I14" s="4"/>
      <c r="J14" s="4"/>
      <c r="K14" s="4"/>
      <c r="L14" s="4"/>
      <c r="M14" s="4">
        <f>SUM(K14:L14)</f>
        <v>0</v>
      </c>
      <c r="N14" s="4">
        <f t="shared" si="6"/>
        <v>0</v>
      </c>
      <c r="O14" s="4"/>
      <c r="P14" s="4"/>
      <c r="Q14" s="4"/>
      <c r="R14" s="4"/>
      <c r="S14" s="6">
        <f t="shared" si="7"/>
        <v>0</v>
      </c>
      <c r="T14" s="6">
        <f t="shared" si="8"/>
        <v>0</v>
      </c>
      <c r="U14" s="4"/>
      <c r="V14" s="4"/>
      <c r="W14" s="4"/>
    </row>
    <row r="15" spans="1:24">
      <c r="A15" s="4" t="s">
        <v>100</v>
      </c>
      <c r="B15" s="4"/>
      <c r="C15" s="4"/>
      <c r="D15" s="4">
        <v>26</v>
      </c>
      <c r="E15" s="4"/>
      <c r="F15" s="4"/>
      <c r="G15" s="4">
        <v>1</v>
      </c>
      <c r="H15" s="6">
        <f>SUM(F15:G15)</f>
        <v>1</v>
      </c>
      <c r="I15" s="4"/>
      <c r="J15" s="4"/>
      <c r="K15" s="4"/>
      <c r="L15" s="4"/>
      <c r="M15" s="4">
        <f>SUM(K15:L15)</f>
        <v>0</v>
      </c>
      <c r="N15" s="4">
        <f t="shared" si="6"/>
        <v>0</v>
      </c>
      <c r="O15" s="4"/>
      <c r="P15" s="4"/>
      <c r="Q15" s="4"/>
      <c r="R15" s="4"/>
      <c r="S15" s="6">
        <f t="shared" si="7"/>
        <v>0</v>
      </c>
      <c r="T15" s="6">
        <f t="shared" si="8"/>
        <v>0</v>
      </c>
      <c r="U15" s="4"/>
      <c r="V15" s="4"/>
      <c r="W15" s="4"/>
    </row>
    <row r="16" spans="1:24">
      <c r="A16" s="4" t="s">
        <v>85</v>
      </c>
      <c r="B16" s="4"/>
      <c r="C16" s="4"/>
      <c r="D16" s="4">
        <v>27</v>
      </c>
      <c r="E16" s="4"/>
      <c r="F16" s="4"/>
      <c r="G16" s="4">
        <v>2</v>
      </c>
      <c r="H16" s="6">
        <f>SUM(F16:G16)</f>
        <v>2</v>
      </c>
      <c r="I16" s="4"/>
      <c r="J16" s="4"/>
      <c r="K16" s="4"/>
      <c r="L16" s="4"/>
      <c r="M16" s="4">
        <f>SUM(K16:L16)</f>
        <v>0</v>
      </c>
      <c r="N16" s="4">
        <f t="shared" si="6"/>
        <v>0</v>
      </c>
      <c r="O16" s="4"/>
      <c r="P16" s="4"/>
      <c r="Q16" s="4"/>
      <c r="R16" s="4"/>
      <c r="S16" s="6">
        <f t="shared" si="7"/>
        <v>0</v>
      </c>
      <c r="T16" s="6">
        <f t="shared" si="8"/>
        <v>0</v>
      </c>
      <c r="U16" s="4"/>
      <c r="V16" s="4"/>
      <c r="W16" s="4"/>
    </row>
    <row r="17" spans="1:24">
      <c r="A17" s="4" t="s">
        <v>96</v>
      </c>
      <c r="B17" s="4"/>
      <c r="C17" s="4"/>
      <c r="D17" s="4">
        <v>96</v>
      </c>
      <c r="E17" s="4"/>
      <c r="F17" s="4"/>
      <c r="G17" s="4">
        <v>2</v>
      </c>
      <c r="H17" s="6">
        <f>SUM(F17:G17)</f>
        <v>2</v>
      </c>
      <c r="I17" s="4"/>
      <c r="J17" s="4"/>
      <c r="K17" s="4"/>
      <c r="L17" s="4"/>
      <c r="M17" s="4">
        <f>SUM(K17:L17)</f>
        <v>0</v>
      </c>
      <c r="N17" s="4">
        <f t="shared" si="6"/>
        <v>0</v>
      </c>
      <c r="O17" s="4"/>
      <c r="P17" s="4"/>
      <c r="Q17" s="4"/>
      <c r="R17" s="4"/>
      <c r="S17" s="6">
        <f t="shared" si="7"/>
        <v>0</v>
      </c>
      <c r="T17" s="6">
        <f t="shared" si="8"/>
        <v>0</v>
      </c>
      <c r="U17" s="4"/>
      <c r="V17" s="4"/>
      <c r="W17" s="4"/>
    </row>
    <row r="18" spans="1:24">
      <c r="A18" s="4" t="s">
        <v>31</v>
      </c>
      <c r="B18" s="4"/>
      <c r="C18" s="4"/>
      <c r="D18" s="4">
        <v>30</v>
      </c>
      <c r="E18" s="4"/>
      <c r="F18" s="4">
        <v>1</v>
      </c>
      <c r="G18" s="4">
        <v>1</v>
      </c>
      <c r="H18" s="6">
        <f>SUM(F18:G18)</f>
        <v>2</v>
      </c>
      <c r="I18" s="4"/>
      <c r="J18" s="4"/>
      <c r="K18" s="4"/>
      <c r="L18" s="4">
        <v>1</v>
      </c>
      <c r="M18" s="4">
        <f>SUM(K18:L18)</f>
        <v>1</v>
      </c>
      <c r="N18" s="4">
        <f t="shared" si="6"/>
        <v>1</v>
      </c>
      <c r="O18" s="4"/>
      <c r="P18" s="4">
        <v>3</v>
      </c>
      <c r="Q18" s="4"/>
      <c r="R18" s="4"/>
      <c r="S18" s="6">
        <f t="shared" si="7"/>
        <v>0</v>
      </c>
      <c r="T18" s="4">
        <f>SUM(P18,S18)</f>
        <v>3</v>
      </c>
      <c r="U18" s="4"/>
      <c r="V18" s="4"/>
      <c r="W18" s="4"/>
    </row>
    <row r="19" spans="1:24">
      <c r="A19" s="6" t="s">
        <v>122</v>
      </c>
      <c r="B19" s="6"/>
      <c r="C19" s="6"/>
      <c r="D19" s="6">
        <v>13</v>
      </c>
      <c r="E19" s="6"/>
      <c r="F19" s="6"/>
      <c r="G19" s="6">
        <v>1</v>
      </c>
      <c r="H19" s="6">
        <f>SUM(F19,G19)</f>
        <v>1</v>
      </c>
      <c r="I19" s="6"/>
      <c r="J19" s="6">
        <v>3</v>
      </c>
      <c r="K19" s="6"/>
      <c r="L19" s="6">
        <v>1</v>
      </c>
      <c r="M19" s="6">
        <f>SUM(K19,L19)</f>
        <v>1</v>
      </c>
      <c r="N19" s="6">
        <f>SUM(J19,M19)</f>
        <v>4</v>
      </c>
      <c r="O19" s="6"/>
      <c r="P19" s="6">
        <v>2</v>
      </c>
      <c r="Q19" s="6"/>
      <c r="R19" s="6">
        <v>1</v>
      </c>
      <c r="S19" s="6">
        <f>SUM(Q19,R19)</f>
        <v>1</v>
      </c>
      <c r="T19" s="6">
        <f>SUM(P19,S19)</f>
        <v>3</v>
      </c>
      <c r="U19" s="6"/>
      <c r="V19" s="6"/>
      <c r="W19" s="6"/>
      <c r="X19" s="6"/>
    </row>
    <row r="20" spans="1:24">
      <c r="A20" s="6" t="s">
        <v>17</v>
      </c>
      <c r="B20" s="6"/>
      <c r="C20" s="6"/>
      <c r="D20" s="6">
        <v>11</v>
      </c>
      <c r="E20" s="6"/>
      <c r="F20" s="6">
        <v>2</v>
      </c>
      <c r="G20" s="6">
        <v>10</v>
      </c>
      <c r="H20" s="6">
        <f>SUM(F20:G20)</f>
        <v>12</v>
      </c>
      <c r="I20" s="6"/>
      <c r="J20" s="6">
        <v>9</v>
      </c>
      <c r="K20" s="6">
        <v>1</v>
      </c>
      <c r="L20" s="6">
        <v>4</v>
      </c>
      <c r="M20" s="6">
        <f>SUM(K20:L20)</f>
        <v>5</v>
      </c>
      <c r="N20" s="6">
        <f t="shared" si="2"/>
        <v>14</v>
      </c>
      <c r="O20" s="6"/>
      <c r="P20" s="6">
        <v>5</v>
      </c>
      <c r="Q20" s="6"/>
      <c r="R20" s="6">
        <v>2</v>
      </c>
      <c r="S20" s="6">
        <f t="shared" si="3"/>
        <v>2</v>
      </c>
      <c r="T20" s="6">
        <f t="shared" si="4"/>
        <v>7</v>
      </c>
      <c r="U20" s="6"/>
      <c r="V20" s="6"/>
      <c r="W20" s="6"/>
      <c r="X20" s="6"/>
    </row>
    <row r="21" spans="1:24">
      <c r="A21" s="6" t="s">
        <v>110</v>
      </c>
      <c r="B21" s="6"/>
      <c r="C21" s="6"/>
      <c r="D21" s="6">
        <v>69</v>
      </c>
      <c r="E21" s="6"/>
      <c r="F21" s="6"/>
      <c r="G21" s="6">
        <v>2</v>
      </c>
      <c r="H21" s="6">
        <f>SUM(F21:G21)</f>
        <v>2</v>
      </c>
      <c r="I21" s="6"/>
      <c r="J21" s="6"/>
      <c r="K21" s="6"/>
      <c r="L21" s="6"/>
      <c r="M21" s="6">
        <f>SUM(K21:L21)</f>
        <v>0</v>
      </c>
      <c r="N21" s="6">
        <f t="shared" si="2"/>
        <v>0</v>
      </c>
      <c r="O21" s="6"/>
      <c r="P21" s="6"/>
      <c r="Q21" s="6"/>
      <c r="R21" s="6"/>
      <c r="S21" s="6">
        <f t="shared" si="3"/>
        <v>0</v>
      </c>
      <c r="T21" s="6">
        <f t="shared" si="4"/>
        <v>0</v>
      </c>
      <c r="U21" s="6"/>
      <c r="V21" s="6"/>
      <c r="W21" s="6"/>
      <c r="X21" s="6"/>
    </row>
    <row r="22" spans="1:24">
      <c r="A22" s="6" t="s">
        <v>65</v>
      </c>
      <c r="B22" s="6"/>
      <c r="C22" s="6"/>
      <c r="D22" s="6">
        <v>29</v>
      </c>
      <c r="E22" s="6"/>
      <c r="F22" s="6"/>
      <c r="G22" s="6">
        <v>4</v>
      </c>
      <c r="H22" s="6">
        <f>SUM(F22,G22)</f>
        <v>4</v>
      </c>
      <c r="I22" s="6"/>
      <c r="J22" s="6"/>
      <c r="K22" s="6"/>
      <c r="L22" s="6">
        <v>1</v>
      </c>
      <c r="M22" s="6">
        <f>SUM(K22,L22)</f>
        <v>1</v>
      </c>
      <c r="N22" s="6">
        <f>SUM(J22,M22)</f>
        <v>1</v>
      </c>
      <c r="O22" s="6"/>
      <c r="P22" s="6"/>
      <c r="Q22" s="6"/>
      <c r="R22" s="6"/>
      <c r="S22" s="6">
        <f t="shared" si="3"/>
        <v>0</v>
      </c>
      <c r="T22" s="6">
        <f t="shared" si="4"/>
        <v>0</v>
      </c>
      <c r="U22" s="6"/>
      <c r="V22" s="6"/>
      <c r="W22" s="6"/>
      <c r="X22" s="6"/>
    </row>
    <row r="23" spans="1:24" s="4" customFormat="1" ht="13.8">
      <c r="A23" s="4" t="s">
        <v>42</v>
      </c>
      <c r="D23" s="4">
        <v>72</v>
      </c>
      <c r="F23" s="4">
        <v>1</v>
      </c>
      <c r="G23" s="4">
        <v>18</v>
      </c>
      <c r="H23" s="4">
        <f>SUM(F23:G23)</f>
        <v>19</v>
      </c>
      <c r="L23" s="4">
        <v>2</v>
      </c>
      <c r="M23" s="4">
        <f>SUM(K23,L23)</f>
        <v>2</v>
      </c>
      <c r="N23" s="4">
        <f>SUM(J23,M23)</f>
        <v>2</v>
      </c>
      <c r="R23" s="4">
        <v>1</v>
      </c>
      <c r="S23" s="4">
        <f>SUM(Q23,R23)</f>
        <v>1</v>
      </c>
      <c r="T23" s="4">
        <f>SUM(P23,S23)</f>
        <v>1</v>
      </c>
      <c r="V23" s="4">
        <v>2</v>
      </c>
    </row>
    <row r="24" spans="1:24">
      <c r="A24" s="6" t="s">
        <v>18</v>
      </c>
      <c r="B24" s="6"/>
      <c r="C24" s="6"/>
      <c r="D24" s="6">
        <v>8</v>
      </c>
      <c r="E24" s="6"/>
      <c r="F24" s="6">
        <v>3</v>
      </c>
      <c r="G24" s="6">
        <v>27</v>
      </c>
      <c r="H24" s="6">
        <f>SUM(F24:G24)</f>
        <v>30</v>
      </c>
      <c r="I24" s="6"/>
      <c r="J24" s="6">
        <v>25</v>
      </c>
      <c r="K24" s="6"/>
      <c r="L24" s="6">
        <v>12</v>
      </c>
      <c r="M24" s="6">
        <f>SUM(K24:L24)</f>
        <v>12</v>
      </c>
      <c r="N24" s="6">
        <f t="shared" si="2"/>
        <v>37</v>
      </c>
      <c r="O24" s="6"/>
      <c r="P24" s="6">
        <v>15</v>
      </c>
      <c r="Q24" s="6"/>
      <c r="R24" s="6">
        <v>2</v>
      </c>
      <c r="S24" s="6">
        <f t="shared" si="3"/>
        <v>2</v>
      </c>
      <c r="T24" s="6">
        <f t="shared" si="4"/>
        <v>17</v>
      </c>
      <c r="U24" s="6"/>
      <c r="V24" s="6"/>
      <c r="W24" s="6"/>
      <c r="X24" s="6"/>
    </row>
    <row r="25" spans="1:24">
      <c r="A25" s="6" t="s">
        <v>19</v>
      </c>
      <c r="B25" s="6"/>
      <c r="C25" s="6"/>
      <c r="D25" s="6">
        <v>22</v>
      </c>
      <c r="E25" s="6"/>
      <c r="F25" s="6">
        <v>2</v>
      </c>
      <c r="G25" s="6">
        <v>21</v>
      </c>
      <c r="H25" s="6">
        <f t="shared" si="0"/>
        <v>23</v>
      </c>
      <c r="I25" s="6"/>
      <c r="J25" s="6">
        <v>12</v>
      </c>
      <c r="K25" s="6"/>
      <c r="L25" s="6">
        <v>3</v>
      </c>
      <c r="M25" s="6">
        <f>SUM(K25:L25)</f>
        <v>3</v>
      </c>
      <c r="N25" s="6">
        <f t="shared" si="2"/>
        <v>15</v>
      </c>
      <c r="O25" s="6"/>
      <c r="P25" s="6">
        <v>13</v>
      </c>
      <c r="Q25" s="6"/>
      <c r="R25" s="6">
        <v>4</v>
      </c>
      <c r="S25" s="6">
        <f t="shared" si="3"/>
        <v>4</v>
      </c>
      <c r="T25" s="6">
        <f t="shared" si="4"/>
        <v>17</v>
      </c>
      <c r="U25" s="6"/>
      <c r="V25" s="6"/>
      <c r="W25" s="6"/>
      <c r="X25" s="6"/>
    </row>
    <row r="26" spans="1:24">
      <c r="A26" s="6" t="s">
        <v>20</v>
      </c>
      <c r="B26" s="6"/>
      <c r="C26" s="6"/>
      <c r="D26" s="6">
        <v>19</v>
      </c>
      <c r="E26" s="6"/>
      <c r="F26" s="6">
        <v>2</v>
      </c>
      <c r="G26" s="6">
        <v>25</v>
      </c>
      <c r="H26" s="6">
        <f>SUM(F26,G26)</f>
        <v>27</v>
      </c>
      <c r="I26" s="6"/>
      <c r="J26" s="6">
        <v>25</v>
      </c>
      <c r="K26" s="6">
        <v>2</v>
      </c>
      <c r="L26" s="6">
        <v>14</v>
      </c>
      <c r="M26" s="6">
        <f>SUM(K26,L26)</f>
        <v>16</v>
      </c>
      <c r="N26" s="6">
        <f t="shared" si="2"/>
        <v>41</v>
      </c>
      <c r="O26" s="6"/>
      <c r="P26" s="6">
        <v>5</v>
      </c>
      <c r="Q26" s="6"/>
      <c r="R26" s="6">
        <v>9</v>
      </c>
      <c r="S26" s="6">
        <f t="shared" si="3"/>
        <v>9</v>
      </c>
      <c r="T26" s="6">
        <f t="shared" si="4"/>
        <v>14</v>
      </c>
      <c r="U26" s="6"/>
      <c r="V26" s="6"/>
      <c r="W26" s="6"/>
      <c r="X26" s="6"/>
    </row>
    <row r="27" spans="1:24">
      <c r="A27" s="6" t="s">
        <v>22</v>
      </c>
      <c r="B27" s="6"/>
      <c r="C27" s="6"/>
      <c r="D27" s="6">
        <v>31</v>
      </c>
      <c r="E27" s="6"/>
      <c r="F27" s="6">
        <v>2</v>
      </c>
      <c r="G27" s="6">
        <v>25</v>
      </c>
      <c r="H27" s="6">
        <f>SUM(F27:G27)</f>
        <v>27</v>
      </c>
      <c r="I27" s="6"/>
      <c r="J27" s="6">
        <v>8</v>
      </c>
      <c r="K27" s="6"/>
      <c r="L27" s="6">
        <v>3</v>
      </c>
      <c r="M27" s="6">
        <f>SUM(K27:L27)</f>
        <v>3</v>
      </c>
      <c r="N27" s="6">
        <f>SUM(J27,M27)</f>
        <v>11</v>
      </c>
      <c r="O27" s="6"/>
      <c r="P27" s="6">
        <v>5</v>
      </c>
      <c r="Q27" s="6">
        <v>2</v>
      </c>
      <c r="R27" s="6">
        <v>1</v>
      </c>
      <c r="S27" s="6">
        <f>SUM(Q27,R27)</f>
        <v>3</v>
      </c>
      <c r="T27" s="6">
        <f>SUM(P27,S27)</f>
        <v>8</v>
      </c>
      <c r="U27" s="6"/>
      <c r="V27" s="6"/>
      <c r="W27" s="6"/>
      <c r="X27" s="6"/>
    </row>
    <row r="28" spans="1:24">
      <c r="A28" s="6" t="s">
        <v>23</v>
      </c>
      <c r="B28" s="6"/>
      <c r="C28" s="6"/>
      <c r="D28" s="6">
        <v>10</v>
      </c>
      <c r="E28" s="6"/>
      <c r="F28" s="6">
        <v>2</v>
      </c>
      <c r="G28" s="6">
        <v>14</v>
      </c>
      <c r="H28" s="6">
        <f t="shared" si="0"/>
        <v>16</v>
      </c>
      <c r="I28" s="6"/>
      <c r="J28" s="6">
        <v>7</v>
      </c>
      <c r="K28" s="6"/>
      <c r="L28" s="6">
        <v>1</v>
      </c>
      <c r="M28" s="6">
        <f>SUM(K28:L28)</f>
        <v>1</v>
      </c>
      <c r="N28" s="6">
        <f>SUM(J28,M28)</f>
        <v>8</v>
      </c>
      <c r="O28" s="6"/>
      <c r="P28" s="6">
        <v>2</v>
      </c>
      <c r="Q28" s="6"/>
      <c r="R28" s="6">
        <v>1</v>
      </c>
      <c r="S28" s="6">
        <f t="shared" si="3"/>
        <v>1</v>
      </c>
      <c r="T28" s="6">
        <f t="shared" si="4"/>
        <v>3</v>
      </c>
      <c r="U28" s="6"/>
      <c r="V28" s="6"/>
      <c r="W28" s="6"/>
      <c r="X28" s="6"/>
    </row>
    <row r="29" spans="1:24">
      <c r="A29" s="6" t="s">
        <v>24</v>
      </c>
      <c r="B29" s="6"/>
      <c r="C29" s="6"/>
      <c r="D29" s="6">
        <v>32</v>
      </c>
      <c r="E29" s="6"/>
      <c r="F29" s="6">
        <v>2</v>
      </c>
      <c r="G29" s="6">
        <v>19</v>
      </c>
      <c r="H29" s="6">
        <f>SUM(F29,G29)</f>
        <v>21</v>
      </c>
      <c r="I29" s="6"/>
      <c r="J29" s="6">
        <v>14</v>
      </c>
      <c r="K29" s="6">
        <v>1</v>
      </c>
      <c r="L29" s="6">
        <v>8</v>
      </c>
      <c r="M29" s="6">
        <f>SUM(K29,L29)</f>
        <v>9</v>
      </c>
      <c r="N29" s="6">
        <f>SUM(M29,J29)</f>
        <v>23</v>
      </c>
      <c r="O29" s="6"/>
      <c r="P29" s="6">
        <v>4</v>
      </c>
      <c r="Q29" s="6"/>
      <c r="R29" s="6">
        <v>5</v>
      </c>
      <c r="S29" s="6">
        <f>SUM(Q29,R29)</f>
        <v>5</v>
      </c>
      <c r="T29" s="6">
        <f>SUM(P29,S29)</f>
        <v>9</v>
      </c>
      <c r="U29" s="6"/>
      <c r="V29" s="6"/>
      <c r="W29" s="6"/>
      <c r="X29" s="6"/>
    </row>
    <row r="30" spans="1:24">
      <c r="A30" s="6" t="s">
        <v>76</v>
      </c>
      <c r="B30" s="6"/>
      <c r="C30" s="6"/>
      <c r="D30" s="6">
        <v>44</v>
      </c>
      <c r="E30" s="6"/>
      <c r="F30" s="6"/>
      <c r="G30" s="6">
        <v>1</v>
      </c>
      <c r="H30" s="6">
        <f>SUM(F30,G30)</f>
        <v>1</v>
      </c>
      <c r="I30" s="6"/>
      <c r="J30" s="6">
        <v>24</v>
      </c>
      <c r="K30" s="6"/>
      <c r="L30" s="6">
        <v>1</v>
      </c>
      <c r="M30" s="6">
        <f>SUM(K30,L30)</f>
        <v>1</v>
      </c>
      <c r="N30" s="6">
        <f>SUM(M30,J30)</f>
        <v>25</v>
      </c>
      <c r="O30" s="6"/>
      <c r="P30" s="6">
        <v>3</v>
      </c>
      <c r="Q30" s="6"/>
      <c r="R30" s="6"/>
      <c r="S30" s="6">
        <f>SUM(Q30,R30)</f>
        <v>0</v>
      </c>
      <c r="T30" s="6">
        <f>SUM(P30,S30)</f>
        <v>3</v>
      </c>
      <c r="U30" s="6"/>
      <c r="V30" s="6"/>
      <c r="W30" s="6"/>
      <c r="X30" s="6"/>
    </row>
    <row r="31" spans="1:2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spans="1:2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spans="1:24">
      <c r="A33" s="6" t="s">
        <v>21</v>
      </c>
      <c r="B33" s="6"/>
      <c r="C33" s="6"/>
      <c r="D33" s="6">
        <v>28</v>
      </c>
      <c r="E33" s="6"/>
      <c r="F33" s="6"/>
      <c r="G33" s="6"/>
      <c r="H33" s="6">
        <f>SUM(F33:G33)</f>
        <v>0</v>
      </c>
      <c r="I33" s="6"/>
      <c r="J33" s="6">
        <v>10</v>
      </c>
      <c r="K33" s="6"/>
      <c r="L33" s="6"/>
      <c r="M33" s="6">
        <f>SUM(K33,L33)</f>
        <v>0</v>
      </c>
      <c r="N33" s="6">
        <f>SUM(M33,J33)</f>
        <v>10</v>
      </c>
      <c r="O33" s="6"/>
      <c r="P33" s="6">
        <v>2</v>
      </c>
      <c r="Q33" s="6"/>
      <c r="R33" s="6"/>
      <c r="S33" s="6">
        <f>SUM(Q33,R33)</f>
        <v>0</v>
      </c>
      <c r="T33" s="6">
        <f>SUM(P33,S33)</f>
        <v>2</v>
      </c>
      <c r="U33" s="6"/>
      <c r="V33" s="6"/>
      <c r="W33" s="6"/>
      <c r="X33" s="6"/>
    </row>
    <row r="34" spans="1:24">
      <c r="A34" s="4" t="s">
        <v>29</v>
      </c>
      <c r="B34" s="4"/>
      <c r="C34" s="4"/>
      <c r="D34" s="4"/>
      <c r="E34" s="4"/>
      <c r="F34" s="4">
        <v>1</v>
      </c>
      <c r="G34" s="4"/>
      <c r="H34" s="6">
        <f t="shared" ref="H34:H38" si="9">SUM(F34:G34)</f>
        <v>1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spans="1:24">
      <c r="A35" s="4" t="s">
        <v>25</v>
      </c>
      <c r="B35" s="4"/>
      <c r="C35" s="4"/>
      <c r="D35" s="4"/>
      <c r="E35" s="4"/>
      <c r="F35" s="4">
        <v>1</v>
      </c>
      <c r="G35" s="4"/>
      <c r="H35" s="6">
        <f t="shared" si="9"/>
        <v>1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4">
      <c r="A36" s="4" t="s">
        <v>26</v>
      </c>
      <c r="B36" s="4"/>
      <c r="C36" s="4"/>
      <c r="D36" s="4"/>
      <c r="E36" s="4"/>
      <c r="F36" s="4">
        <v>1</v>
      </c>
      <c r="G36" s="4"/>
      <c r="H36" s="6">
        <f t="shared" si="9"/>
        <v>1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4">
      <c r="A37" s="4" t="s">
        <v>27</v>
      </c>
      <c r="B37" s="4"/>
      <c r="C37" s="4"/>
      <c r="D37" s="4"/>
      <c r="E37" s="4"/>
      <c r="F37" s="4">
        <v>1</v>
      </c>
      <c r="G37" s="4"/>
      <c r="H37" s="6">
        <f t="shared" si="9"/>
        <v>1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4">
      <c r="A38" s="4" t="s">
        <v>28</v>
      </c>
      <c r="B38" s="4"/>
      <c r="C38" s="4"/>
      <c r="D38" s="4"/>
      <c r="E38" s="4"/>
      <c r="F38" s="4">
        <v>1</v>
      </c>
      <c r="G38" s="4"/>
      <c r="H38" s="6">
        <f t="shared" si="9"/>
        <v>1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4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4">
      <c r="A41" s="8" t="s">
        <v>6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4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4">
      <c r="A43" s="7">
        <v>45173</v>
      </c>
      <c r="B43" s="4"/>
      <c r="C43" s="4" t="s">
        <v>32</v>
      </c>
      <c r="D43" s="4"/>
      <c r="E43" s="11" t="s">
        <v>33</v>
      </c>
      <c r="F43" s="9" t="s">
        <v>34</v>
      </c>
      <c r="G43" s="9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1:24">
      <c r="A44" s="4"/>
      <c r="B44" s="4"/>
      <c r="C44" s="4"/>
      <c r="D44" s="4"/>
      <c r="E44" s="10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1:24">
      <c r="A45" s="7">
        <v>45190</v>
      </c>
      <c r="B45" s="4"/>
      <c r="C45" s="9" t="s">
        <v>34</v>
      </c>
      <c r="D45" s="9"/>
      <c r="E45" s="11" t="s">
        <v>36</v>
      </c>
      <c r="F45" s="4" t="s">
        <v>35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1:24">
      <c r="A46" s="4"/>
      <c r="B46" s="4"/>
      <c r="C46" s="9" t="s">
        <v>37</v>
      </c>
      <c r="D46" s="9"/>
      <c r="E46" s="10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1:24">
      <c r="A47" s="4"/>
      <c r="B47" s="4"/>
      <c r="C47" s="9" t="s">
        <v>38</v>
      </c>
      <c r="D47" s="9"/>
      <c r="E47" s="10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1:24">
      <c r="A48" s="4"/>
      <c r="B48" s="4"/>
      <c r="C48" s="6"/>
      <c r="D48" s="6"/>
      <c r="E48" s="10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spans="1:23">
      <c r="A49" s="7">
        <v>45217</v>
      </c>
      <c r="B49" s="4"/>
      <c r="C49" s="9" t="s">
        <v>34</v>
      </c>
      <c r="D49" s="9"/>
      <c r="E49" s="10" t="s">
        <v>39</v>
      </c>
      <c r="F49" s="4" t="s">
        <v>40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spans="1:23">
      <c r="A50" s="4"/>
      <c r="B50" s="4"/>
      <c r="C50" s="9" t="s">
        <v>41</v>
      </c>
      <c r="D50" s="9"/>
      <c r="E50" s="1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spans="1:23">
      <c r="A51" s="4"/>
      <c r="B51" s="4"/>
      <c r="C51" s="4"/>
      <c r="D51" s="4"/>
      <c r="E51" s="10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>
      <c r="A52" s="4"/>
      <c r="B52" s="4"/>
      <c r="C52" s="4"/>
      <c r="D52" s="4"/>
      <c r="E52" s="1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spans="1:23">
      <c r="A53" s="8" t="s">
        <v>43</v>
      </c>
      <c r="B53" s="8"/>
      <c r="C53" s="8"/>
      <c r="D53" s="4"/>
      <c r="E53" s="10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spans="1:23">
      <c r="A54" s="4"/>
      <c r="B54" s="4"/>
      <c r="C54" s="4"/>
      <c r="D54" s="4"/>
      <c r="E54" s="1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spans="1:23">
      <c r="A55" s="7">
        <v>45232</v>
      </c>
      <c r="B55" s="4"/>
      <c r="C55" s="9" t="s">
        <v>34</v>
      </c>
      <c r="D55" s="9"/>
      <c r="E55" s="10" t="s">
        <v>45</v>
      </c>
      <c r="F55" s="4" t="s">
        <v>44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1:23">
      <c r="A56" s="4"/>
      <c r="B56" s="4"/>
      <c r="C56" s="4"/>
      <c r="D56" s="4"/>
      <c r="E56" s="10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1:23">
      <c r="A57" s="7">
        <v>45238</v>
      </c>
      <c r="B57" s="4"/>
      <c r="C57" s="4" t="s">
        <v>47</v>
      </c>
      <c r="D57" s="4"/>
      <c r="E57" s="10" t="s">
        <v>48</v>
      </c>
      <c r="F57" s="9" t="s">
        <v>34</v>
      </c>
      <c r="G57" s="9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pans="1:23">
      <c r="A58" s="4"/>
      <c r="B58" s="4"/>
      <c r="C58" s="4"/>
      <c r="D58" s="4"/>
      <c r="E58" s="10"/>
      <c r="F58" s="9" t="s">
        <v>49</v>
      </c>
      <c r="G58" s="9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3">
      <c r="A59" s="4"/>
      <c r="B59" s="4"/>
      <c r="C59" s="4"/>
      <c r="D59" s="4"/>
      <c r="E59" s="10"/>
      <c r="F59" s="9" t="s">
        <v>50</v>
      </c>
      <c r="G59" s="9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3">
      <c r="A60" s="4"/>
      <c r="B60" s="4"/>
      <c r="C60" s="4"/>
      <c r="D60" s="4"/>
      <c r="E60" s="10"/>
      <c r="F60" s="9" t="s">
        <v>51</v>
      </c>
      <c r="G60" s="9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3">
      <c r="A61" s="4"/>
      <c r="B61" s="4"/>
      <c r="C61" s="4"/>
      <c r="D61" s="4"/>
      <c r="E61" s="10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3">
      <c r="A62" s="7">
        <v>45245</v>
      </c>
      <c r="B62" s="4"/>
      <c r="C62" s="9" t="s">
        <v>34</v>
      </c>
      <c r="D62" s="9"/>
      <c r="E62" s="10" t="s">
        <v>53</v>
      </c>
      <c r="F62" s="4" t="s">
        <v>52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3">
      <c r="A63" s="4"/>
      <c r="B63" s="4"/>
      <c r="C63" s="4"/>
      <c r="D63" s="4"/>
      <c r="E63" s="10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spans="1:23">
      <c r="A64" s="7">
        <v>45250</v>
      </c>
      <c r="B64" s="4"/>
      <c r="C64" s="4" t="s">
        <v>54</v>
      </c>
      <c r="D64" s="4"/>
      <c r="E64" s="10" t="s">
        <v>55</v>
      </c>
      <c r="F64" s="9" t="s">
        <v>34</v>
      </c>
      <c r="G64" s="9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3">
      <c r="A65" s="4"/>
      <c r="B65" s="4"/>
      <c r="C65" s="4"/>
      <c r="D65" s="4"/>
      <c r="E65" s="10"/>
      <c r="F65" s="9" t="s">
        <v>56</v>
      </c>
      <c r="G65" s="9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spans="1:23">
      <c r="A66" s="4"/>
      <c r="B66" s="4"/>
      <c r="C66" s="4"/>
      <c r="D66" s="4"/>
      <c r="E66" s="10"/>
      <c r="F66" s="9" t="s">
        <v>57</v>
      </c>
      <c r="G66" s="9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3">
      <c r="A67" s="4"/>
      <c r="B67" s="4"/>
      <c r="C67" s="4"/>
      <c r="D67" s="4"/>
      <c r="E67" s="1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>
      <c r="A68" s="7">
        <v>45259</v>
      </c>
      <c r="B68" s="4"/>
      <c r="C68" s="4" t="s">
        <v>40</v>
      </c>
      <c r="D68" s="4"/>
      <c r="E68" s="10" t="s">
        <v>58</v>
      </c>
      <c r="F68" s="9" t="s">
        <v>34</v>
      </c>
      <c r="G68" s="9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3">
      <c r="A69" s="4"/>
      <c r="B69" s="4"/>
      <c r="C69" s="4"/>
      <c r="D69" s="4"/>
      <c r="E69" s="10"/>
      <c r="F69" s="9" t="s">
        <v>37</v>
      </c>
      <c r="G69" s="9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3">
      <c r="A70" s="4"/>
      <c r="B70" s="4"/>
      <c r="C70" s="4"/>
      <c r="D70" s="4"/>
      <c r="E70" s="10"/>
      <c r="F70" s="9" t="s">
        <v>59</v>
      </c>
      <c r="G70" s="9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3">
      <c r="A71" s="4"/>
      <c r="B71" s="4"/>
      <c r="C71" s="4"/>
      <c r="D71" s="4"/>
      <c r="E71" s="10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pans="1:23">
      <c r="A72" s="7">
        <v>45267</v>
      </c>
      <c r="B72" s="4"/>
      <c r="C72" s="4" t="s">
        <v>60</v>
      </c>
      <c r="D72" s="4"/>
      <c r="E72" s="10" t="s">
        <v>62</v>
      </c>
      <c r="F72" s="9" t="s">
        <v>34</v>
      </c>
      <c r="G72" s="9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3">
      <c r="A73" s="4"/>
      <c r="B73" s="4"/>
      <c r="C73" s="4"/>
      <c r="D73" s="4"/>
      <c r="E73" s="10"/>
      <c r="F73" s="9" t="s">
        <v>61</v>
      </c>
      <c r="G73" s="9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3">
      <c r="A74" s="4"/>
      <c r="B74" s="4"/>
      <c r="C74" s="4"/>
      <c r="D74" s="4"/>
      <c r="E74" s="10"/>
      <c r="F74" s="9" t="s">
        <v>57</v>
      </c>
      <c r="G74" s="9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3">
      <c r="A75" s="4"/>
      <c r="B75" s="4"/>
      <c r="C75" s="4"/>
      <c r="D75" s="4"/>
      <c r="E75" s="10"/>
      <c r="F75" s="9" t="s">
        <v>59</v>
      </c>
      <c r="G75" s="9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spans="1:23">
      <c r="A76" s="4"/>
      <c r="B76" s="4"/>
      <c r="C76" s="4"/>
      <c r="D76" s="4"/>
      <c r="E76" s="10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spans="1:23">
      <c r="A77" s="7">
        <v>45273</v>
      </c>
      <c r="B77" s="4"/>
      <c r="C77" s="4" t="s">
        <v>63</v>
      </c>
      <c r="D77" s="4"/>
      <c r="E77" s="10" t="s">
        <v>64</v>
      </c>
      <c r="F77" s="9" t="s">
        <v>34</v>
      </c>
      <c r="G77" s="9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spans="1:23">
      <c r="A78" s="4"/>
      <c r="B78" s="4"/>
      <c r="C78" s="4"/>
      <c r="D78" s="4"/>
      <c r="E78" s="10"/>
      <c r="F78" s="9" t="s">
        <v>57</v>
      </c>
      <c r="G78" s="9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spans="1:23">
      <c r="A79" s="4"/>
      <c r="B79" s="4"/>
      <c r="C79" s="4"/>
      <c r="D79" s="4"/>
      <c r="E79" s="10"/>
      <c r="F79" s="9" t="s">
        <v>41</v>
      </c>
      <c r="G79" s="9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spans="1:23">
      <c r="A80" s="4"/>
      <c r="B80" s="4"/>
      <c r="C80" s="4"/>
      <c r="D80" s="4"/>
      <c r="E80" s="10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spans="1:23">
      <c r="A81" s="7">
        <v>45280</v>
      </c>
      <c r="B81" s="4"/>
      <c r="C81" s="9" t="s">
        <v>34</v>
      </c>
      <c r="D81" s="9"/>
      <c r="E81" s="10" t="s">
        <v>66</v>
      </c>
      <c r="F81" s="4" t="s">
        <v>67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spans="1:23">
      <c r="A82" s="4"/>
      <c r="B82" s="4"/>
      <c r="C82" s="9" t="s">
        <v>50</v>
      </c>
      <c r="D82" s="9"/>
      <c r="E82" s="10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spans="1:23">
      <c r="A83" s="4"/>
      <c r="B83" s="4"/>
      <c r="C83" s="9" t="s">
        <v>68</v>
      </c>
      <c r="D83" s="9"/>
      <c r="E83" s="10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>
      <c r="A84" s="4"/>
      <c r="B84" s="4"/>
      <c r="C84" s="9" t="s">
        <v>69</v>
      </c>
      <c r="D84" s="9"/>
      <c r="E84" s="10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pans="1:23">
      <c r="A85" s="4"/>
      <c r="B85" s="4"/>
      <c r="C85" s="9" t="s">
        <v>37</v>
      </c>
      <c r="D85" s="9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pans="1:2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pans="1:23">
      <c r="A87" s="7">
        <v>45296</v>
      </c>
      <c r="B87" s="4"/>
      <c r="C87" s="9" t="s">
        <v>34</v>
      </c>
      <c r="D87" s="9"/>
      <c r="E87" s="4" t="s">
        <v>71</v>
      </c>
      <c r="F87" s="4" t="s">
        <v>70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1:23">
      <c r="A88" s="7"/>
      <c r="B88" s="4"/>
      <c r="C88" s="8" t="s">
        <v>61</v>
      </c>
      <c r="D88" s="9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1:2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1:23">
      <c r="A90" s="7">
        <v>45302</v>
      </c>
      <c r="B90" s="4"/>
      <c r="C90" s="9" t="s">
        <v>34</v>
      </c>
      <c r="D90" s="9"/>
      <c r="E90" s="12" t="s">
        <v>73</v>
      </c>
      <c r="F90" s="4" t="s">
        <v>72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1:23">
      <c r="A91" s="4"/>
      <c r="B91" s="4"/>
      <c r="C91" s="9" t="s">
        <v>74</v>
      </c>
      <c r="D91" s="9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1:2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1:23">
      <c r="A93" s="7">
        <v>45308</v>
      </c>
      <c r="B93" s="4"/>
      <c r="C93" s="9" t="s">
        <v>34</v>
      </c>
      <c r="D93" s="9"/>
      <c r="E93" s="4" t="s">
        <v>79</v>
      </c>
      <c r="F93" s="4" t="s">
        <v>78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1:23">
      <c r="A94" s="4"/>
      <c r="B94" s="4"/>
      <c r="C94" s="9" t="s">
        <v>49</v>
      </c>
      <c r="D94" s="9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1:23">
      <c r="A95" s="4"/>
      <c r="B95" s="4"/>
      <c r="C95" s="9" t="s">
        <v>57</v>
      </c>
      <c r="D95" s="9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1:23">
      <c r="A96" s="4"/>
      <c r="B96" s="4"/>
      <c r="C96" s="9" t="s">
        <v>80</v>
      </c>
      <c r="D96" s="9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1:2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1:23">
      <c r="A98" s="7">
        <v>45316</v>
      </c>
      <c r="B98" s="4"/>
      <c r="C98" s="4" t="s">
        <v>81</v>
      </c>
      <c r="D98" s="4"/>
      <c r="E98" s="4" t="s">
        <v>92</v>
      </c>
      <c r="F98" s="9" t="s">
        <v>34</v>
      </c>
      <c r="G98" s="9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1:23">
      <c r="A99" s="4"/>
      <c r="B99" s="4"/>
      <c r="C99" s="4"/>
      <c r="D99" s="4"/>
      <c r="E99" s="4"/>
      <c r="F99" s="9" t="s">
        <v>82</v>
      </c>
      <c r="G99" s="9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1:23">
      <c r="A100" s="4"/>
      <c r="B100" s="4"/>
      <c r="C100" s="4"/>
      <c r="D100" s="4"/>
      <c r="E100" s="4"/>
      <c r="F100" s="9" t="s">
        <v>57</v>
      </c>
      <c r="G100" s="9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1:2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1:23">
      <c r="A102" s="7">
        <v>45322</v>
      </c>
      <c r="B102" s="4"/>
      <c r="C102" s="9" t="s">
        <v>34</v>
      </c>
      <c r="D102" s="9"/>
      <c r="E102" s="4" t="s">
        <v>84</v>
      </c>
      <c r="F102" s="4" t="s">
        <v>83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1:23">
      <c r="A103" s="4"/>
      <c r="B103" s="4"/>
      <c r="C103" s="9" t="s">
        <v>59</v>
      </c>
      <c r="D103" s="9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1:23">
      <c r="A104" s="4"/>
      <c r="B104" s="4"/>
      <c r="C104" s="9" t="s">
        <v>38</v>
      </c>
      <c r="D104" s="9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1:2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1:23">
      <c r="A106" s="7">
        <v>45330</v>
      </c>
      <c r="B106" s="4"/>
      <c r="C106" s="4" t="s">
        <v>89</v>
      </c>
      <c r="D106" s="4"/>
      <c r="E106" s="4" t="s">
        <v>88</v>
      </c>
      <c r="F106" s="9" t="s">
        <v>34</v>
      </c>
      <c r="G106" s="9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1:23">
      <c r="A107" s="4"/>
      <c r="B107" s="4"/>
      <c r="C107" s="4"/>
      <c r="D107" s="4"/>
      <c r="E107" s="4"/>
      <c r="F107" s="9" t="s">
        <v>57</v>
      </c>
      <c r="G107" s="9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1:2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1:23">
      <c r="A109" s="7">
        <v>45337</v>
      </c>
      <c r="B109" s="4"/>
      <c r="C109" s="9" t="s">
        <v>34</v>
      </c>
      <c r="D109" s="9"/>
      <c r="E109" s="4" t="s">
        <v>91</v>
      </c>
      <c r="F109" s="4" t="s">
        <v>90</v>
      </c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1:23">
      <c r="A110" s="4"/>
      <c r="B110" s="4"/>
      <c r="C110" s="9" t="s">
        <v>56</v>
      </c>
      <c r="D110" s="9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1:2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1:23">
      <c r="A112" s="8" t="s">
        <v>93</v>
      </c>
      <c r="B112" s="8"/>
      <c r="C112" s="8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1:2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1:23">
      <c r="A114" s="7">
        <v>45343</v>
      </c>
      <c r="B114" s="4"/>
      <c r="C114" s="4" t="s">
        <v>94</v>
      </c>
      <c r="D114" s="4"/>
      <c r="E114" s="4" t="s">
        <v>95</v>
      </c>
      <c r="F114" s="9" t="s">
        <v>34</v>
      </c>
      <c r="G114" s="9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1:2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1:23">
      <c r="A116" s="7">
        <v>45350</v>
      </c>
      <c r="B116" s="4"/>
      <c r="C116" s="9" t="s">
        <v>34</v>
      </c>
      <c r="D116" s="9"/>
      <c r="E116" s="4" t="s">
        <v>58</v>
      </c>
      <c r="F116" s="4" t="s">
        <v>44</v>
      </c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1:23">
      <c r="A117" s="4"/>
      <c r="B117" s="4"/>
      <c r="C117" s="9" t="s">
        <v>59</v>
      </c>
      <c r="D117" s="9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1:2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1:23">
      <c r="A119" s="7">
        <v>45356</v>
      </c>
      <c r="B119" s="4"/>
      <c r="C119" s="4" t="s">
        <v>67</v>
      </c>
      <c r="D119" s="4"/>
      <c r="E119" s="4" t="s">
        <v>97</v>
      </c>
      <c r="F119" s="9" t="s">
        <v>34</v>
      </c>
      <c r="G119" s="9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1:23">
      <c r="A120" s="4"/>
      <c r="B120" s="4"/>
      <c r="C120" s="4"/>
      <c r="D120" s="4"/>
      <c r="E120" s="4"/>
      <c r="F120" s="9" t="s">
        <v>38</v>
      </c>
      <c r="G120" s="9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1:2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1:23">
      <c r="A122" s="7">
        <v>45364</v>
      </c>
      <c r="B122" s="4"/>
      <c r="C122" s="9" t="s">
        <v>34</v>
      </c>
      <c r="D122" s="9"/>
      <c r="E122" s="4" t="s">
        <v>99</v>
      </c>
      <c r="F122" s="4" t="s">
        <v>98</v>
      </c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23">
      <c r="A123" s="4"/>
      <c r="B123" s="4"/>
      <c r="C123" s="9" t="s">
        <v>37</v>
      </c>
      <c r="D123" s="9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1:23">
      <c r="A124" s="4"/>
      <c r="B124" s="4"/>
      <c r="C124" s="9" t="s">
        <v>80</v>
      </c>
      <c r="D124" s="9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1:2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23">
      <c r="A126" s="7">
        <v>45372</v>
      </c>
      <c r="B126" s="4"/>
      <c r="C126" s="4" t="s">
        <v>101</v>
      </c>
      <c r="D126" s="4"/>
      <c r="E126" s="4" t="s">
        <v>103</v>
      </c>
      <c r="F126" s="9" t="s">
        <v>34</v>
      </c>
      <c r="G126" s="9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23">
      <c r="A127" s="4"/>
      <c r="B127" s="4"/>
      <c r="C127" s="4"/>
      <c r="D127" s="4"/>
      <c r="E127" s="4"/>
      <c r="F127" s="9" t="s">
        <v>68</v>
      </c>
      <c r="G127" s="9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23">
      <c r="A128" s="4"/>
      <c r="B128" s="4"/>
      <c r="C128" s="4"/>
      <c r="D128" s="4"/>
      <c r="E128" s="4"/>
      <c r="F128" s="9" t="s">
        <v>50</v>
      </c>
      <c r="G128" s="9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>
      <c r="A129" s="4"/>
      <c r="B129" s="4"/>
      <c r="C129" s="4"/>
      <c r="D129" s="4"/>
      <c r="E129" s="4"/>
      <c r="F129" s="9" t="s">
        <v>102</v>
      </c>
      <c r="G129" s="9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>
      <c r="A130" s="4"/>
      <c r="B130" s="4"/>
      <c r="C130" s="4"/>
      <c r="D130" s="4"/>
      <c r="E130" s="4"/>
      <c r="F130" s="9" t="s">
        <v>80</v>
      </c>
      <c r="G130" s="9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>
      <c r="A132" s="7">
        <v>45377</v>
      </c>
      <c r="B132" s="4"/>
      <c r="C132" s="9" t="s">
        <v>34</v>
      </c>
      <c r="D132" s="9"/>
      <c r="E132" s="4" t="s">
        <v>105</v>
      </c>
      <c r="F132" s="4" t="s">
        <v>104</v>
      </c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>
      <c r="A133" s="4"/>
      <c r="B133" s="4"/>
      <c r="C133" s="9" t="s">
        <v>57</v>
      </c>
      <c r="D133" s="9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>
      <c r="A135" s="7">
        <v>45385</v>
      </c>
      <c r="B135" s="4"/>
      <c r="C135" s="9" t="s">
        <v>34</v>
      </c>
      <c r="D135" s="9"/>
      <c r="E135" s="4" t="s">
        <v>105</v>
      </c>
      <c r="F135" s="4" t="s">
        <v>70</v>
      </c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>
      <c r="A136" s="4"/>
      <c r="B136" s="4"/>
      <c r="C136" s="9" t="s">
        <v>41</v>
      </c>
      <c r="D136" s="9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>
      <c r="A138" s="7">
        <v>45394</v>
      </c>
      <c r="B138" s="4"/>
      <c r="C138" s="4" t="s">
        <v>60</v>
      </c>
      <c r="D138" s="4"/>
      <c r="E138" s="4" t="s">
        <v>106</v>
      </c>
      <c r="F138" s="9" t="s">
        <v>34</v>
      </c>
      <c r="G138" s="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>
      <c r="A139" s="4"/>
      <c r="B139" s="4"/>
      <c r="C139" s="4"/>
      <c r="D139" s="4"/>
      <c r="E139" s="4"/>
      <c r="F139" s="9" t="s">
        <v>109</v>
      </c>
      <c r="G139" s="9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>
      <c r="A140" s="4"/>
      <c r="B140" s="4"/>
      <c r="C140" s="4"/>
      <c r="D140" s="4"/>
      <c r="E140" s="4"/>
      <c r="F140" s="9" t="s">
        <v>107</v>
      </c>
      <c r="G140" s="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>
      <c r="A141" s="4"/>
      <c r="B141" s="4"/>
      <c r="C141" s="4"/>
      <c r="D141" s="4"/>
      <c r="E141" s="4"/>
      <c r="F141" s="9" t="s">
        <v>108</v>
      </c>
      <c r="G141" s="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>
      <c r="A143" s="7">
        <v>45399</v>
      </c>
      <c r="B143" s="4"/>
      <c r="C143" s="4" t="s">
        <v>111</v>
      </c>
      <c r="D143" s="4"/>
      <c r="E143" s="4" t="s">
        <v>112</v>
      </c>
      <c r="F143" s="9" t="s">
        <v>34</v>
      </c>
      <c r="G143" s="9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>
      <c r="A144" s="4"/>
      <c r="B144" s="4"/>
      <c r="C144" s="4"/>
      <c r="D144" s="4"/>
      <c r="E144" s="4"/>
      <c r="F144" s="9" t="s">
        <v>61</v>
      </c>
      <c r="G144" s="9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1:23">
      <c r="A145" s="4"/>
      <c r="B145" s="4"/>
      <c r="C145" s="4"/>
      <c r="D145" s="4"/>
      <c r="E145" s="4"/>
      <c r="F145" s="9" t="s">
        <v>57</v>
      </c>
      <c r="G145" s="9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1:2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1:23">
      <c r="A147" s="7">
        <v>45405</v>
      </c>
      <c r="B147" s="4"/>
      <c r="C147" s="4" t="s">
        <v>113</v>
      </c>
      <c r="D147" s="4"/>
      <c r="E147" s="4" t="s">
        <v>114</v>
      </c>
      <c r="F147" s="9" t="s">
        <v>34</v>
      </c>
      <c r="G147" s="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1:23">
      <c r="A148" s="4"/>
      <c r="B148" s="4"/>
      <c r="C148" s="4"/>
      <c r="D148" s="4"/>
      <c r="E148" s="4"/>
      <c r="F148" s="9" t="s">
        <v>57</v>
      </c>
      <c r="G148" s="9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1:2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1:23">
      <c r="A150" s="7">
        <v>45411</v>
      </c>
      <c r="B150" s="4"/>
      <c r="C150" s="9" t="s">
        <v>34</v>
      </c>
      <c r="D150" s="9"/>
      <c r="E150" s="4" t="s">
        <v>117</v>
      </c>
      <c r="F150" s="4" t="s">
        <v>115</v>
      </c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1:23">
      <c r="A151" s="4"/>
      <c r="B151" s="4"/>
      <c r="C151" s="9" t="s">
        <v>116</v>
      </c>
      <c r="D151" s="9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1:23">
      <c r="A152" s="4"/>
      <c r="B152" s="4"/>
      <c r="C152" s="9" t="s">
        <v>37</v>
      </c>
      <c r="D152" s="9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1:2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1:23">
      <c r="A154" s="7">
        <v>45420</v>
      </c>
      <c r="B154" s="4"/>
      <c r="C154" s="4" t="s">
        <v>90</v>
      </c>
      <c r="D154" s="4"/>
      <c r="E154" s="4" t="s">
        <v>118</v>
      </c>
      <c r="F154" s="9" t="s">
        <v>34</v>
      </c>
      <c r="G154" s="9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1:23">
      <c r="A155" s="4"/>
      <c r="B155" s="4"/>
      <c r="C155" s="4"/>
      <c r="D155" s="4"/>
      <c r="E155" s="4"/>
      <c r="F155" s="9" t="s">
        <v>59</v>
      </c>
      <c r="G155" s="9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1:23">
      <c r="A156" s="4"/>
      <c r="B156" s="4"/>
      <c r="C156" s="4"/>
      <c r="D156" s="4"/>
      <c r="E156" s="4"/>
      <c r="F156" s="9" t="s">
        <v>119</v>
      </c>
      <c r="G156" s="9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1:23">
      <c r="A157" s="4"/>
      <c r="B157" s="4"/>
      <c r="C157" s="4"/>
      <c r="D157" s="4"/>
      <c r="E157" s="4"/>
      <c r="F157" s="9" t="s">
        <v>37</v>
      </c>
      <c r="G157" s="9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1:23">
      <c r="A158" s="4"/>
      <c r="B158" s="4"/>
      <c r="C158" s="4"/>
      <c r="D158" s="4"/>
      <c r="E158" s="4"/>
      <c r="F158" s="9" t="s">
        <v>68</v>
      </c>
      <c r="G158" s="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1:23">
      <c r="A159" s="4"/>
      <c r="B159" s="4"/>
      <c r="C159" s="4"/>
      <c r="D159" s="4"/>
      <c r="E159" s="4"/>
      <c r="F159" s="8" t="s">
        <v>61</v>
      </c>
      <c r="G159" s="9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1:2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1:23">
      <c r="A161" s="7">
        <v>45425</v>
      </c>
      <c r="B161" s="4"/>
      <c r="C161" s="4" t="s">
        <v>81</v>
      </c>
      <c r="D161" s="4"/>
      <c r="E161" s="4" t="s">
        <v>120</v>
      </c>
      <c r="F161" s="9" t="s">
        <v>34</v>
      </c>
      <c r="G161" s="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1:23">
      <c r="A162" s="4"/>
      <c r="B162" s="4"/>
      <c r="C162" s="4"/>
      <c r="D162" s="4"/>
      <c r="E162" s="4"/>
      <c r="F162" s="9" t="s">
        <v>37</v>
      </c>
      <c r="G162" s="9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1:2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1:2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1:2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1:2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1:2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1:2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1:2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1:2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1:2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1:2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1:2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1:2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1:2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1:2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1:2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1:2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1:2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1:2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1:2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1:2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1:2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1:2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1:2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1:2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1:2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1:2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1:2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1:2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1:2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1:2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1:2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1:2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1:2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1:2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1:2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1:2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1:2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1:2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1:2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1:2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1:2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1:2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1:2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1:2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1:2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1:2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1:2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1:2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1:2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1:2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1:2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1:2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1:2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1:2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1:2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1:2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1:2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1:2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1:2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1: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1:2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1:2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1:2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1:2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1:2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1:2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1:2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1:2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1:2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1:2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1:2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1:2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1:2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1:2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1:2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1:2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1:2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1:2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1:2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1:2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1:2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1:2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1:2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1:2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1:2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1:2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1:2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1:2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1:2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1:2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1:2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1:2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1:2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1:2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1:2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1:2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1:2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1:2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1:2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1:2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1:2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1:2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1:2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1:2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1:2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1:2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1:2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1:2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1:2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1:2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1:2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1:2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1:2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1:2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1:2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1:2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1:2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1:2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1:2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1:2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1:2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1:2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1:2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1:2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1:2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1:2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1:2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1:2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1:2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1:2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1:2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1:2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1:2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1:2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1:2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1:2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1:2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1:2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1:2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1:2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</sheetData>
  <pageMargins left="0.7" right="0.7" top="0.75" bottom="0.75" header="0.3" footer="0.3"/>
  <pageSetup paperSize="9" orientation="portrait" horizontalDpi="0" verticalDpi="0" r:id="rId1"/>
  <ignoredErrors>
    <ignoredError sqref="H26 M5:M6 M26 H10 M23 H22 M19 H19:H20" formula="1"/>
    <ignoredError sqref="M24:M25 M27:M28" formulaRange="1"/>
    <ignoredError sqref="M20" formula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2024-12-26T23:26:00Z</dcterms:modified>
</cp:coreProperties>
</file>