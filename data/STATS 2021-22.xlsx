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360" yWindow="300" windowWidth="18732" windowHeight="11700"/>
  </bookViews>
  <sheets>
    <sheet name="Foglio1" sheetId="1" r:id="rId1"/>
    <sheet name="Foglio2" sheetId="2" r:id="rId2"/>
    <sheet name="Foglio3" sheetId="3" r:id="rId3"/>
  </sheets>
  <calcPr calcId="125725"/>
</workbook>
</file>

<file path=xl/calcChain.xml><?xml version="1.0" encoding="utf-8"?>
<calcChain xmlns="http://schemas.openxmlformats.org/spreadsheetml/2006/main">
  <c r="H26" i="1"/>
  <c r="H25"/>
  <c r="H32"/>
  <c r="R20"/>
  <c r="M20"/>
  <c r="N20" s="1"/>
  <c r="M19"/>
  <c r="N19" s="1"/>
  <c r="H20"/>
  <c r="M14"/>
  <c r="N14" s="1"/>
  <c r="M24"/>
  <c r="N24" s="1"/>
  <c r="M39"/>
  <c r="N39" s="1"/>
  <c r="M38"/>
  <c r="N38" s="1"/>
  <c r="M37"/>
  <c r="N37" s="1"/>
  <c r="M35"/>
  <c r="N35" s="1"/>
  <c r="M34"/>
  <c r="N34" s="1"/>
  <c r="M33"/>
  <c r="N33" s="1"/>
  <c r="M31"/>
  <c r="N31" s="1"/>
  <c r="M30"/>
  <c r="N30" s="1"/>
  <c r="M29"/>
  <c r="N29" s="1"/>
  <c r="M28"/>
  <c r="N28" s="1"/>
  <c r="M27"/>
  <c r="N27" s="1"/>
  <c r="M18"/>
  <c r="N18" s="1"/>
  <c r="M23"/>
  <c r="N23" s="1"/>
  <c r="M22"/>
  <c r="N22" s="1"/>
  <c r="M15"/>
  <c r="N15" s="1"/>
  <c r="M12"/>
  <c r="N12" s="1"/>
  <c r="M11"/>
  <c r="N11" s="1"/>
  <c r="M9"/>
  <c r="M8"/>
  <c r="N8" s="1"/>
  <c r="M7"/>
  <c r="M6"/>
  <c r="N6" s="1"/>
  <c r="M5"/>
  <c r="N5" s="1"/>
  <c r="M4"/>
  <c r="N4" s="1"/>
  <c r="M36"/>
  <c r="N36" s="1"/>
  <c r="R39"/>
  <c r="R38"/>
  <c r="R37"/>
  <c r="R36"/>
  <c r="R35"/>
  <c r="R34"/>
  <c r="R33"/>
  <c r="R31"/>
  <c r="R30"/>
  <c r="R29"/>
  <c r="R28"/>
  <c r="R19"/>
  <c r="R27"/>
  <c r="R18"/>
  <c r="R24"/>
  <c r="R23"/>
  <c r="R22"/>
  <c r="R16"/>
  <c r="R15"/>
  <c r="R14"/>
  <c r="R13"/>
  <c r="R12"/>
  <c r="R11"/>
  <c r="R10"/>
  <c r="R9"/>
  <c r="R8"/>
  <c r="R7"/>
  <c r="R6"/>
  <c r="R5"/>
  <c r="R4"/>
  <c r="H16"/>
  <c r="H13"/>
  <c r="H10"/>
  <c r="M16"/>
  <c r="N16" s="1"/>
  <c r="N13"/>
  <c r="M10"/>
  <c r="N10" s="1"/>
  <c r="H38"/>
  <c r="H15"/>
  <c r="H24"/>
  <c r="H23"/>
  <c r="H39"/>
  <c r="H14"/>
  <c r="H12"/>
  <c r="H30"/>
  <c r="H28"/>
  <c r="H29"/>
  <c r="H19"/>
  <c r="H11"/>
  <c r="H36"/>
  <c r="H33"/>
  <c r="H34"/>
  <c r="H35"/>
  <c r="N9"/>
  <c r="H9"/>
  <c r="H31"/>
  <c r="H18"/>
  <c r="H22"/>
  <c r="H8"/>
  <c r="H37"/>
  <c r="H27"/>
  <c r="N7"/>
  <c r="H7"/>
  <c r="H6"/>
  <c r="H5"/>
  <c r="H4"/>
</calcChain>
</file>

<file path=xl/sharedStrings.xml><?xml version="1.0" encoding="utf-8"?>
<sst xmlns="http://schemas.openxmlformats.org/spreadsheetml/2006/main" count="229" uniqueCount="153">
  <si>
    <t>Giocatore</t>
  </si>
  <si>
    <t>N. di maglia</t>
  </si>
  <si>
    <t>Presenze</t>
  </si>
  <si>
    <t xml:space="preserve">     Assist</t>
  </si>
  <si>
    <t xml:space="preserve">             Cartellini</t>
  </si>
  <si>
    <t>Ruoli</t>
  </si>
  <si>
    <t>Soprannomi</t>
  </si>
  <si>
    <t>BirthDay</t>
  </si>
  <si>
    <t>Amichevoli</t>
  </si>
  <si>
    <t>Campionato</t>
  </si>
  <si>
    <t>Totali</t>
  </si>
  <si>
    <t xml:space="preserve">      Gialli</t>
  </si>
  <si>
    <t xml:space="preserve">      Rossi</t>
  </si>
  <si>
    <t>Precedenti</t>
  </si>
  <si>
    <t>Matteo Torretta</t>
  </si>
  <si>
    <t>POR</t>
  </si>
  <si>
    <t>Mano del colosso (di Rodi)</t>
  </si>
  <si>
    <t>Fabio Iannuccelli</t>
  </si>
  <si>
    <t>TD/ADA</t>
  </si>
  <si>
    <t>Pendolino GPL</t>
  </si>
  <si>
    <t>Davide Scocco</t>
  </si>
  <si>
    <t>TD/ADA/POR</t>
  </si>
  <si>
    <t>L'impeto vincente</t>
  </si>
  <si>
    <t>Matteo Cutroni</t>
  </si>
  <si>
    <t>DC</t>
  </si>
  <si>
    <t>Pantorilla de Kripton</t>
  </si>
  <si>
    <t>Davide Codispoti</t>
  </si>
  <si>
    <t>DC/CDC</t>
  </si>
  <si>
    <t>Giuseppe D'Amato</t>
  </si>
  <si>
    <t>Muraglia Apula</t>
  </si>
  <si>
    <t>Federico Acconcia</t>
  </si>
  <si>
    <t>DC/TD</t>
  </si>
  <si>
    <t>Segreteria telefonica</t>
  </si>
  <si>
    <t>DC/TS</t>
  </si>
  <si>
    <t>Nathan Swift</t>
  </si>
  <si>
    <t>TS</t>
  </si>
  <si>
    <t>Luca Coddetta</t>
  </si>
  <si>
    <t>Skywalker, la nuova speranza</t>
  </si>
  <si>
    <t>CDC/TD/DC/CC</t>
  </si>
  <si>
    <t>Edoardo Monetti</t>
  </si>
  <si>
    <t>ED</t>
  </si>
  <si>
    <t>Apprendista scugnizz</t>
  </si>
  <si>
    <t>Alessio Ivanov</t>
  </si>
  <si>
    <t>CDC/CC</t>
  </si>
  <si>
    <t>Davide Serra</t>
  </si>
  <si>
    <t>CDC/CC/COC</t>
  </si>
  <si>
    <t>Marco Gioffredi</t>
  </si>
  <si>
    <t>CC/COC/ES/ED</t>
  </si>
  <si>
    <t>La mezzaquila di Graz</t>
  </si>
  <si>
    <t>Joey Giammari</t>
  </si>
  <si>
    <t>CC/ED/ES</t>
  </si>
  <si>
    <t>L'olandese volante</t>
  </si>
  <si>
    <t>CDC/COC/DC/ATT</t>
  </si>
  <si>
    <t>Matteo Giunta</t>
  </si>
  <si>
    <t>CC/COC</t>
  </si>
  <si>
    <t>M'illumino d'immenso</t>
  </si>
  <si>
    <t>Dario Innocenzi</t>
  </si>
  <si>
    <t>COC/AD/CC</t>
  </si>
  <si>
    <t>Giorgio Caron</t>
  </si>
  <si>
    <t>AD/AS/COC</t>
  </si>
  <si>
    <t>Il traghettatore di anime</t>
  </si>
  <si>
    <t>Alessandro Pietravalle</t>
  </si>
  <si>
    <t>ATT/AS/AD</t>
  </si>
  <si>
    <t>Odino veste nike</t>
  </si>
  <si>
    <t>Francesco Venneri</t>
  </si>
  <si>
    <t>ATT</t>
  </si>
  <si>
    <t>Gabriele Battisti</t>
  </si>
  <si>
    <t>AS/ATT/AD</t>
  </si>
  <si>
    <t>Michele Botta</t>
  </si>
  <si>
    <t>AS/COC/AD/AT</t>
  </si>
  <si>
    <t>Holly, l'uomo della trequarti</t>
  </si>
  <si>
    <t>Francesco Colella</t>
  </si>
  <si>
    <t>AT/ATT</t>
  </si>
  <si>
    <t>Mahatma magnetico</t>
  </si>
  <si>
    <t>Alessio Torretta</t>
  </si>
  <si>
    <t>AD/AS/ATT</t>
  </si>
  <si>
    <t>Torneo Amici del Calciotto</t>
  </si>
  <si>
    <t>Partizan Degrado</t>
  </si>
  <si>
    <t xml:space="preserve">     3-2</t>
  </si>
  <si>
    <t>Tamarindi FC</t>
  </si>
  <si>
    <t>Scocco</t>
  </si>
  <si>
    <t>Pietravalle</t>
  </si>
  <si>
    <t>Carlo Iurato</t>
  </si>
  <si>
    <t>Jacopo Carlini</t>
  </si>
  <si>
    <t>Federico Rocchi</t>
  </si>
  <si>
    <t>Davide Guarino</t>
  </si>
  <si>
    <t>Emanuele Straniero</t>
  </si>
  <si>
    <t>Alessandro Giacomelli</t>
  </si>
  <si>
    <t>Alessio Ciolli</t>
  </si>
  <si>
    <t>Antonio Epifani</t>
  </si>
  <si>
    <t>CC/TD/TS/DC</t>
  </si>
  <si>
    <t>TS/ASA/CDC</t>
  </si>
  <si>
    <t>Corrente</t>
  </si>
  <si>
    <t>Totali 21/22</t>
  </si>
  <si>
    <t xml:space="preserve">     2-2</t>
  </si>
  <si>
    <t>Quelli di Sempre</t>
  </si>
  <si>
    <t>Pietravalle (2)</t>
  </si>
  <si>
    <t>Club Brugge KV</t>
  </si>
  <si>
    <t xml:space="preserve">     0-2</t>
  </si>
  <si>
    <t>Gioffredi</t>
  </si>
  <si>
    <t>Giacomelli</t>
  </si>
  <si>
    <t>Aston Birra</t>
  </si>
  <si>
    <t xml:space="preserve">     1-4</t>
  </si>
  <si>
    <t>Caron</t>
  </si>
  <si>
    <t>Epifani (2)</t>
  </si>
  <si>
    <t xml:space="preserve">     2-3</t>
  </si>
  <si>
    <t>Alitalia</t>
  </si>
  <si>
    <t>Epifani</t>
  </si>
  <si>
    <t xml:space="preserve">     1-2</t>
  </si>
  <si>
    <t>Poseidon</t>
  </si>
  <si>
    <t>Dream Team</t>
  </si>
  <si>
    <t>Toroviola</t>
  </si>
  <si>
    <t xml:space="preserve">     0-1</t>
  </si>
  <si>
    <t>Unieuro</t>
  </si>
  <si>
    <t xml:space="preserve">     2-1</t>
  </si>
  <si>
    <t>Coddetta</t>
  </si>
  <si>
    <t xml:space="preserve">     7-0</t>
  </si>
  <si>
    <t>Pizza&amp;Fichi</t>
  </si>
  <si>
    <t>Epifani (3)</t>
  </si>
  <si>
    <t>Caron (2)</t>
  </si>
  <si>
    <t>VP Portuense</t>
  </si>
  <si>
    <t xml:space="preserve">     3-1</t>
  </si>
  <si>
    <t>D'Amato</t>
  </si>
  <si>
    <t xml:space="preserve">     2-4</t>
  </si>
  <si>
    <t>Quelli di sempre</t>
  </si>
  <si>
    <t xml:space="preserve">     1-1</t>
  </si>
  <si>
    <t>Colella</t>
  </si>
  <si>
    <t xml:space="preserve">     4-1</t>
  </si>
  <si>
    <t>Giacomelli (2)</t>
  </si>
  <si>
    <t xml:space="preserve">     1-0</t>
  </si>
  <si>
    <t xml:space="preserve">    0-3</t>
  </si>
  <si>
    <t>a tavolino</t>
  </si>
  <si>
    <t>Pistilli Massimo</t>
  </si>
  <si>
    <t>Pizza &amp; Fichi</t>
  </si>
  <si>
    <t xml:space="preserve">     4-4</t>
  </si>
  <si>
    <t>Tamarindi Fc</t>
  </si>
  <si>
    <t>Pistilli</t>
  </si>
  <si>
    <t>Playout</t>
  </si>
  <si>
    <t>Semifinale</t>
  </si>
  <si>
    <t xml:space="preserve">     5-2</t>
  </si>
  <si>
    <t>Finale</t>
  </si>
  <si>
    <t>Gol</t>
  </si>
  <si>
    <t>[3-5 dcr]</t>
  </si>
  <si>
    <t>Caron [R]</t>
  </si>
  <si>
    <t>Gioffredi [R]</t>
  </si>
  <si>
    <t>Coddetta [R]</t>
  </si>
  <si>
    <t>Giacomelli [R]</t>
  </si>
  <si>
    <t>Trofeo Bruna Caravà</t>
  </si>
  <si>
    <t>Sporting Roma</t>
  </si>
  <si>
    <t xml:space="preserve">     2-0</t>
  </si>
  <si>
    <t>Daniele Gemin</t>
  </si>
  <si>
    <t>Francesco Petrillo</t>
  </si>
  <si>
    <t>Matteo Marcantonio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</si>
</sst>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Bahnschrift Condensed"/>
      <family val="2"/>
    </font>
    <font>
      <sz val="11"/>
      <color theme="1"/>
      <name val="Bahnschrift"/>
      <family val="2"/>
    </font>
    <font>
      <sz val="11"/>
      <name val="Bahnschrift"/>
      <family val="2"/>
    </font>
    <font>
      <sz val="11"/>
      <color theme="1"/>
      <name val="F.C. BARCELONA"/>
    </font>
    <font>
      <sz val="10"/>
      <color rgb="FF000000"/>
      <name val="Segoe UI Emoji"/>
      <family val="2"/>
    </font>
    <font>
      <sz val="11"/>
      <color theme="0"/>
      <name val="F.C. BARCELONA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Fill="1"/>
    <xf numFmtId="0" fontId="0" fillId="0" borderId="0" xfId="0" applyFill="1"/>
    <xf numFmtId="14" fontId="2" fillId="0" borderId="0" xfId="0" applyNumberFormat="1" applyFont="1" applyFill="1"/>
    <xf numFmtId="49" fontId="2" fillId="0" borderId="0" xfId="0" applyNumberFormat="1" applyFont="1" applyFill="1"/>
    <xf numFmtId="0" fontId="2" fillId="2" borderId="0" xfId="0" applyFont="1" applyFill="1"/>
    <xf numFmtId="0" fontId="0" fillId="2" borderId="0" xfId="0" applyFill="1"/>
    <xf numFmtId="14" fontId="2" fillId="2" borderId="0" xfId="0" applyNumberFormat="1" applyFont="1" applyFill="1"/>
    <xf numFmtId="49" fontId="2" fillId="2" borderId="0" xfId="0" applyNumberFormat="1" applyFont="1" applyFill="1"/>
    <xf numFmtId="0" fontId="3" fillId="2" borderId="0" xfId="0" applyFont="1" applyFill="1"/>
    <xf numFmtId="0" fontId="2" fillId="3" borderId="0" xfId="0" applyFont="1" applyFill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9"/>
  <sheetViews>
    <sheetView tabSelected="1" topLeftCell="A16" workbookViewId="0">
      <selection activeCell="A26" sqref="A26"/>
    </sheetView>
  </sheetViews>
  <sheetFormatPr defaultRowHeight="14.4"/>
  <cols>
    <col min="1" max="1" width="11.109375" bestFit="1" customWidth="1"/>
  </cols>
  <sheetData>
    <row r="1" spans="1:30">
      <c r="A1" s="1" t="s">
        <v>0</v>
      </c>
      <c r="B1" s="1"/>
      <c r="C1" s="1"/>
      <c r="D1" s="1" t="s">
        <v>1</v>
      </c>
      <c r="E1" s="1"/>
      <c r="F1" s="2"/>
      <c r="G1" s="3" t="s">
        <v>2</v>
      </c>
      <c r="H1" s="2"/>
      <c r="I1" s="1"/>
      <c r="J1" s="1"/>
      <c r="K1" s="3"/>
      <c r="L1" s="3" t="s">
        <v>141</v>
      </c>
      <c r="M1" s="1"/>
      <c r="N1" s="1"/>
      <c r="O1" s="1"/>
      <c r="P1" s="1"/>
      <c r="Q1" s="1" t="s">
        <v>3</v>
      </c>
      <c r="R1" s="1"/>
      <c r="S1" s="1"/>
      <c r="T1" s="1" t="s">
        <v>4</v>
      </c>
      <c r="U1" s="1"/>
      <c r="V1" s="1"/>
      <c r="W1" s="1" t="s">
        <v>5</v>
      </c>
      <c r="X1" s="1"/>
      <c r="Y1" s="1" t="s">
        <v>6</v>
      </c>
      <c r="Z1" s="1"/>
      <c r="AA1" s="1"/>
      <c r="AB1" s="1"/>
      <c r="AC1" s="1" t="s">
        <v>7</v>
      </c>
      <c r="AD1" s="1"/>
    </row>
    <row r="2" spans="1:30">
      <c r="A2" s="1"/>
      <c r="B2" s="1"/>
      <c r="C2" s="1"/>
      <c r="D2" s="1"/>
      <c r="E2" s="1"/>
      <c r="F2" s="3" t="s">
        <v>8</v>
      </c>
      <c r="G2" s="3" t="s">
        <v>9</v>
      </c>
      <c r="H2" s="3" t="s">
        <v>10</v>
      </c>
      <c r="I2" s="1"/>
      <c r="J2" s="3" t="s">
        <v>13</v>
      </c>
      <c r="K2" s="3" t="s">
        <v>8</v>
      </c>
      <c r="L2" s="3" t="s">
        <v>9</v>
      </c>
      <c r="M2" s="3" t="s">
        <v>93</v>
      </c>
      <c r="N2" s="3" t="s">
        <v>10</v>
      </c>
      <c r="O2" s="3"/>
      <c r="P2" s="3" t="s">
        <v>13</v>
      </c>
      <c r="Q2" s="3" t="s">
        <v>92</v>
      </c>
      <c r="R2" s="3" t="s">
        <v>10</v>
      </c>
      <c r="S2" s="1"/>
      <c r="T2" s="1" t="s">
        <v>11</v>
      </c>
      <c r="U2" s="1" t="s">
        <v>12</v>
      </c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4"/>
      <c r="B3" s="4"/>
      <c r="C3" s="4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C3" s="4"/>
      <c r="AD3" s="4"/>
    </row>
    <row r="4" spans="1:30" s="8" customFormat="1">
      <c r="A4" s="7" t="s">
        <v>14</v>
      </c>
      <c r="B4" s="7"/>
      <c r="C4" s="7"/>
      <c r="D4" s="7">
        <v>1</v>
      </c>
      <c r="E4" s="7"/>
      <c r="F4" s="7">
        <v>1</v>
      </c>
      <c r="G4" s="7">
        <v>21</v>
      </c>
      <c r="H4" s="7">
        <f t="shared" ref="H4:H15" si="0">SUM(F4:G4)</f>
        <v>22</v>
      </c>
      <c r="I4" s="7"/>
      <c r="J4" s="7"/>
      <c r="K4" s="7"/>
      <c r="L4" s="7"/>
      <c r="M4" s="7">
        <f t="shared" ref="M4:M9" si="1">SUM(K4:L4)</f>
        <v>0</v>
      </c>
      <c r="N4" s="7">
        <f t="shared" ref="N4:N9" si="2">SUM(J4,M4)</f>
        <v>0</v>
      </c>
      <c r="O4" s="7"/>
      <c r="P4" s="7"/>
      <c r="Q4" s="7">
        <v>1</v>
      </c>
      <c r="R4" s="7">
        <f t="shared" ref="R4:R16" si="3">SUM(P4,Q4)</f>
        <v>1</v>
      </c>
      <c r="S4" s="7"/>
      <c r="T4" s="7"/>
      <c r="U4" s="7"/>
      <c r="V4" s="7"/>
      <c r="W4" s="7" t="s">
        <v>15</v>
      </c>
      <c r="X4" s="7"/>
      <c r="Y4" s="7" t="s">
        <v>16</v>
      </c>
      <c r="Z4" s="7"/>
      <c r="AC4" s="9"/>
      <c r="AD4" s="7"/>
    </row>
    <row r="5" spans="1:30">
      <c r="A5" s="7" t="s">
        <v>17</v>
      </c>
      <c r="B5" s="7"/>
      <c r="C5" s="7"/>
      <c r="D5" s="7">
        <v>16</v>
      </c>
      <c r="E5" s="7"/>
      <c r="F5" s="7"/>
      <c r="G5" s="7">
        <v>0</v>
      </c>
      <c r="H5" s="7">
        <f t="shared" si="0"/>
        <v>0</v>
      </c>
      <c r="I5" s="7"/>
      <c r="J5" s="7">
        <v>1</v>
      </c>
      <c r="K5" s="7"/>
      <c r="L5" s="7"/>
      <c r="M5" s="7">
        <f t="shared" si="1"/>
        <v>0</v>
      </c>
      <c r="N5" s="7">
        <f t="shared" si="2"/>
        <v>1</v>
      </c>
      <c r="O5" s="7"/>
      <c r="P5" s="7"/>
      <c r="Q5" s="7"/>
      <c r="R5" s="7">
        <f t="shared" si="3"/>
        <v>0</v>
      </c>
      <c r="S5" s="7"/>
      <c r="T5" s="7"/>
      <c r="U5" s="7"/>
      <c r="V5" s="7"/>
      <c r="W5" s="7" t="s">
        <v>18</v>
      </c>
      <c r="X5" s="7"/>
      <c r="Y5" s="7" t="s">
        <v>19</v>
      </c>
      <c r="Z5" s="7"/>
      <c r="AA5" s="8"/>
      <c r="AB5" s="8"/>
      <c r="AC5" s="9"/>
      <c r="AD5" s="7"/>
    </row>
    <row r="6" spans="1:30">
      <c r="A6" s="7" t="s">
        <v>20</v>
      </c>
      <c r="B6" s="7"/>
      <c r="C6" s="7"/>
      <c r="D6" s="7">
        <v>33</v>
      </c>
      <c r="E6" s="7"/>
      <c r="F6" s="7">
        <v>1</v>
      </c>
      <c r="G6" s="7">
        <v>23</v>
      </c>
      <c r="H6" s="7">
        <f t="shared" si="0"/>
        <v>24</v>
      </c>
      <c r="I6" s="7"/>
      <c r="J6" s="7">
        <v>1</v>
      </c>
      <c r="K6" s="7"/>
      <c r="L6" s="7">
        <v>2</v>
      </c>
      <c r="M6" s="7">
        <f t="shared" si="1"/>
        <v>2</v>
      </c>
      <c r="N6" s="7">
        <f t="shared" si="2"/>
        <v>3</v>
      </c>
      <c r="O6" s="7"/>
      <c r="P6" s="7"/>
      <c r="Q6" s="7">
        <v>2</v>
      </c>
      <c r="R6" s="7">
        <f t="shared" si="3"/>
        <v>2</v>
      </c>
      <c r="S6" s="7"/>
      <c r="T6" s="7">
        <v>1</v>
      </c>
      <c r="U6" s="7"/>
      <c r="V6" s="7"/>
      <c r="W6" s="7" t="s">
        <v>21</v>
      </c>
      <c r="X6" s="7"/>
      <c r="Y6" s="7" t="s">
        <v>22</v>
      </c>
      <c r="Z6" s="7"/>
      <c r="AA6" s="8"/>
      <c r="AB6" s="8"/>
      <c r="AC6" s="9"/>
      <c r="AD6" s="7"/>
    </row>
    <row r="7" spans="1:30">
      <c r="A7" s="7" t="s">
        <v>23</v>
      </c>
      <c r="B7" s="7"/>
      <c r="C7" s="7"/>
      <c r="D7" s="7">
        <v>5</v>
      </c>
      <c r="E7" s="7"/>
      <c r="F7" s="7">
        <v>1</v>
      </c>
      <c r="G7" s="7">
        <v>20</v>
      </c>
      <c r="H7" s="7">
        <f t="shared" si="0"/>
        <v>21</v>
      </c>
      <c r="I7" s="7"/>
      <c r="J7" s="7"/>
      <c r="K7" s="7"/>
      <c r="L7" s="7"/>
      <c r="M7" s="7">
        <f t="shared" si="1"/>
        <v>0</v>
      </c>
      <c r="N7" s="7">
        <f t="shared" si="2"/>
        <v>0</v>
      </c>
      <c r="O7" s="7"/>
      <c r="P7" s="7"/>
      <c r="Q7" s="7">
        <v>1</v>
      </c>
      <c r="R7" s="7">
        <f t="shared" si="3"/>
        <v>1</v>
      </c>
      <c r="S7" s="7"/>
      <c r="T7" s="7"/>
      <c r="U7" s="7"/>
      <c r="V7" s="7"/>
      <c r="W7" s="7" t="s">
        <v>24</v>
      </c>
      <c r="X7" s="7"/>
      <c r="Y7" s="7" t="s">
        <v>25</v>
      </c>
      <c r="Z7" s="7"/>
      <c r="AA7" s="8"/>
      <c r="AB7" s="8"/>
      <c r="AC7" s="9"/>
      <c r="AD7" s="7"/>
    </row>
    <row r="8" spans="1:30">
      <c r="A8" s="7" t="s">
        <v>28</v>
      </c>
      <c r="B8" s="7"/>
      <c r="C8" s="7"/>
      <c r="D8" s="7">
        <v>3</v>
      </c>
      <c r="E8" s="7"/>
      <c r="F8" s="7"/>
      <c r="G8" s="7">
        <v>21</v>
      </c>
      <c r="H8" s="7">
        <f t="shared" si="0"/>
        <v>21</v>
      </c>
      <c r="I8" s="7"/>
      <c r="J8" s="7"/>
      <c r="K8" s="7"/>
      <c r="L8" s="7">
        <v>1</v>
      </c>
      <c r="M8" s="7">
        <f t="shared" si="1"/>
        <v>1</v>
      </c>
      <c r="N8" s="7">
        <f t="shared" si="2"/>
        <v>1</v>
      </c>
      <c r="O8" s="7"/>
      <c r="P8" s="7"/>
      <c r="Q8" s="7"/>
      <c r="R8" s="7">
        <f t="shared" si="3"/>
        <v>0</v>
      </c>
      <c r="S8" s="7"/>
      <c r="T8" s="7"/>
      <c r="U8" s="7"/>
      <c r="V8" s="7"/>
      <c r="W8" s="7" t="s">
        <v>24</v>
      </c>
      <c r="X8" s="7"/>
      <c r="Y8" s="7" t="s">
        <v>29</v>
      </c>
      <c r="Z8" s="7"/>
      <c r="AA8" s="8"/>
      <c r="AB8" s="8"/>
      <c r="AC8" s="9"/>
      <c r="AD8" s="7"/>
    </row>
    <row r="9" spans="1:30">
      <c r="A9" s="7" t="s">
        <v>36</v>
      </c>
      <c r="B9" s="7"/>
      <c r="C9" s="7"/>
      <c r="D9" s="7">
        <v>11</v>
      </c>
      <c r="E9" s="7"/>
      <c r="F9" s="7">
        <v>1</v>
      </c>
      <c r="G9" s="7">
        <v>20</v>
      </c>
      <c r="H9" s="7">
        <f t="shared" si="0"/>
        <v>21</v>
      </c>
      <c r="I9" s="7"/>
      <c r="J9" s="7">
        <v>5</v>
      </c>
      <c r="K9" s="7"/>
      <c r="L9" s="7">
        <v>3</v>
      </c>
      <c r="M9" s="7">
        <f t="shared" si="1"/>
        <v>3</v>
      </c>
      <c r="N9" s="7">
        <f t="shared" si="2"/>
        <v>8</v>
      </c>
      <c r="O9" s="7"/>
      <c r="P9" s="7">
        <v>1</v>
      </c>
      <c r="Q9" s="7">
        <v>3</v>
      </c>
      <c r="R9" s="7">
        <f t="shared" si="3"/>
        <v>4</v>
      </c>
      <c r="S9" s="7"/>
      <c r="T9" s="7"/>
      <c r="U9" s="7"/>
      <c r="V9" s="7"/>
      <c r="W9" s="7" t="s">
        <v>91</v>
      </c>
      <c r="X9" s="7"/>
      <c r="Y9" s="7" t="s">
        <v>37</v>
      </c>
      <c r="Z9" s="7"/>
      <c r="AA9" s="8"/>
      <c r="AB9" s="8"/>
      <c r="AC9" s="9"/>
      <c r="AD9" s="7"/>
    </row>
    <row r="10" spans="1:30">
      <c r="A10" s="7" t="s">
        <v>88</v>
      </c>
      <c r="B10" s="7"/>
      <c r="C10" s="7"/>
      <c r="D10" s="7">
        <v>15</v>
      </c>
      <c r="E10" s="7"/>
      <c r="F10" s="7"/>
      <c r="G10" s="7">
        <v>19</v>
      </c>
      <c r="H10" s="7">
        <f t="shared" si="0"/>
        <v>19</v>
      </c>
      <c r="I10" s="7"/>
      <c r="J10" s="7"/>
      <c r="K10" s="7"/>
      <c r="L10" s="7"/>
      <c r="M10" s="7">
        <f>SUM(K10,L10)</f>
        <v>0</v>
      </c>
      <c r="N10" s="7">
        <f>SUM(M10,J10)</f>
        <v>0</v>
      </c>
      <c r="O10" s="7"/>
      <c r="P10" s="7"/>
      <c r="Q10" s="7">
        <v>4</v>
      </c>
      <c r="R10" s="7">
        <f t="shared" si="3"/>
        <v>4</v>
      </c>
      <c r="S10" s="7"/>
      <c r="T10" s="7"/>
      <c r="U10" s="7"/>
      <c r="V10" s="7"/>
      <c r="W10" s="7" t="s">
        <v>90</v>
      </c>
      <c r="X10" s="7"/>
      <c r="Y10" s="7"/>
      <c r="Z10" s="7"/>
      <c r="AA10" s="8"/>
      <c r="AB10" s="8"/>
      <c r="AC10" s="9"/>
      <c r="AD10" s="7"/>
    </row>
    <row r="11" spans="1:30">
      <c r="A11" s="7" t="s">
        <v>46</v>
      </c>
      <c r="B11" s="7"/>
      <c r="C11" s="7"/>
      <c r="D11" s="7">
        <v>8</v>
      </c>
      <c r="E11" s="7"/>
      <c r="F11" s="7">
        <v>1</v>
      </c>
      <c r="G11" s="7">
        <v>23</v>
      </c>
      <c r="H11" s="7">
        <f>SUM(F11:G11)</f>
        <v>24</v>
      </c>
      <c r="I11" s="7"/>
      <c r="J11" s="7">
        <v>9</v>
      </c>
      <c r="K11" s="7"/>
      <c r="L11" s="7">
        <v>7</v>
      </c>
      <c r="M11" s="7">
        <f>SUM(K11:L11)</f>
        <v>7</v>
      </c>
      <c r="N11" s="7">
        <f>SUM(J11,M11)</f>
        <v>16</v>
      </c>
      <c r="O11" s="7"/>
      <c r="P11" s="7">
        <v>1</v>
      </c>
      <c r="Q11" s="7">
        <v>7</v>
      </c>
      <c r="R11" s="7">
        <f t="shared" si="3"/>
        <v>8</v>
      </c>
      <c r="S11" s="7"/>
      <c r="T11" s="7"/>
      <c r="U11" s="7"/>
      <c r="V11" s="7"/>
      <c r="W11" s="7" t="s">
        <v>47</v>
      </c>
      <c r="X11" s="7"/>
      <c r="Y11" s="7" t="s">
        <v>48</v>
      </c>
      <c r="Z11" s="7"/>
      <c r="AA11" s="8"/>
      <c r="AB11" s="8"/>
      <c r="AC11" s="9"/>
      <c r="AD11" s="7"/>
    </row>
    <row r="12" spans="1:30">
      <c r="A12" s="7" t="s">
        <v>58</v>
      </c>
      <c r="B12" s="7"/>
      <c r="C12" s="7"/>
      <c r="D12" s="7">
        <v>22</v>
      </c>
      <c r="E12" s="7"/>
      <c r="F12" s="7">
        <v>1</v>
      </c>
      <c r="G12" s="7">
        <v>18</v>
      </c>
      <c r="H12" s="7">
        <f t="shared" si="0"/>
        <v>19</v>
      </c>
      <c r="I12" s="7"/>
      <c r="J12" s="7">
        <v>4</v>
      </c>
      <c r="K12" s="7"/>
      <c r="L12" s="7">
        <v>4</v>
      </c>
      <c r="M12" s="7">
        <f>SUM(K12:L12)</f>
        <v>4</v>
      </c>
      <c r="N12" s="7">
        <f>SUM(J12,M12)</f>
        <v>8</v>
      </c>
      <c r="O12" s="7"/>
      <c r="P12" s="7"/>
      <c r="Q12" s="7">
        <v>5</v>
      </c>
      <c r="R12" s="7">
        <f t="shared" si="3"/>
        <v>5</v>
      </c>
      <c r="S12" s="7"/>
      <c r="T12" s="7"/>
      <c r="U12" s="7"/>
      <c r="V12" s="7"/>
      <c r="W12" s="7" t="s">
        <v>59</v>
      </c>
      <c r="X12" s="7"/>
      <c r="Y12" s="7" t="s">
        <v>60</v>
      </c>
      <c r="Z12" s="7"/>
      <c r="AA12" s="8"/>
      <c r="AB12" s="8"/>
      <c r="AC12" s="9"/>
      <c r="AD12" s="7"/>
    </row>
    <row r="13" spans="1:30">
      <c r="A13" s="7" t="s">
        <v>89</v>
      </c>
      <c r="B13" s="7"/>
      <c r="C13" s="7"/>
      <c r="D13" s="7">
        <v>28</v>
      </c>
      <c r="E13" s="7"/>
      <c r="F13" s="7"/>
      <c r="G13" s="7">
        <v>17</v>
      </c>
      <c r="H13" s="7">
        <f t="shared" si="0"/>
        <v>17</v>
      </c>
      <c r="I13" s="7"/>
      <c r="J13" s="7"/>
      <c r="K13" s="7"/>
      <c r="L13" s="7">
        <v>8</v>
      </c>
      <c r="M13" s="7">
        <v>8</v>
      </c>
      <c r="N13" s="7">
        <f>SUM(M13,J13)</f>
        <v>8</v>
      </c>
      <c r="O13" s="7"/>
      <c r="P13" s="7"/>
      <c r="Q13" s="7">
        <v>2</v>
      </c>
      <c r="R13" s="7">
        <f t="shared" si="3"/>
        <v>2</v>
      </c>
      <c r="S13" s="7"/>
      <c r="T13" s="7"/>
      <c r="U13" s="7"/>
      <c r="V13" s="7"/>
      <c r="W13" s="7" t="s">
        <v>75</v>
      </c>
      <c r="X13" s="7"/>
      <c r="Y13" s="7"/>
      <c r="Z13" s="7"/>
      <c r="AA13" s="8"/>
      <c r="AB13" s="8"/>
      <c r="AC13" s="9"/>
      <c r="AD13" s="7"/>
    </row>
    <row r="14" spans="1:30">
      <c r="A14" s="7" t="s">
        <v>61</v>
      </c>
      <c r="B14" s="7"/>
      <c r="C14" s="7"/>
      <c r="D14" s="7">
        <v>44</v>
      </c>
      <c r="E14" s="7"/>
      <c r="F14" s="7"/>
      <c r="G14" s="7">
        <v>20</v>
      </c>
      <c r="H14" s="7">
        <f t="shared" si="0"/>
        <v>20</v>
      </c>
      <c r="I14" s="7"/>
      <c r="J14" s="7">
        <v>12</v>
      </c>
      <c r="K14" s="7"/>
      <c r="L14" s="7">
        <v>12</v>
      </c>
      <c r="M14" s="7">
        <f>SUM(K14,L14)</f>
        <v>12</v>
      </c>
      <c r="N14" s="7">
        <f>SUM(J14,M14)</f>
        <v>24</v>
      </c>
      <c r="O14" s="7"/>
      <c r="P14" s="7">
        <v>1</v>
      </c>
      <c r="Q14" s="7">
        <v>2</v>
      </c>
      <c r="R14" s="7">
        <f t="shared" si="3"/>
        <v>3</v>
      </c>
      <c r="S14" s="7"/>
      <c r="T14" s="7"/>
      <c r="U14" s="7">
        <v>1</v>
      </c>
      <c r="V14" s="7"/>
      <c r="W14" s="7" t="s">
        <v>62</v>
      </c>
      <c r="X14" s="7"/>
      <c r="Y14" s="7" t="s">
        <v>63</v>
      </c>
      <c r="Z14" s="7"/>
      <c r="AA14" s="8"/>
      <c r="AB14" s="8"/>
      <c r="AC14" s="9"/>
      <c r="AD14" s="7"/>
    </row>
    <row r="15" spans="1:30">
      <c r="A15" s="7" t="s">
        <v>71</v>
      </c>
      <c r="B15" s="7"/>
      <c r="C15" s="7"/>
      <c r="D15" s="7">
        <v>10</v>
      </c>
      <c r="E15" s="7"/>
      <c r="F15" s="7">
        <v>1</v>
      </c>
      <c r="G15" s="7">
        <v>11</v>
      </c>
      <c r="H15" s="7">
        <f t="shared" si="0"/>
        <v>12</v>
      </c>
      <c r="I15" s="7"/>
      <c r="J15" s="7">
        <v>2</v>
      </c>
      <c r="K15" s="7"/>
      <c r="L15" s="7">
        <v>1</v>
      </c>
      <c r="M15" s="7">
        <f>SUM(K15:L15)</f>
        <v>1</v>
      </c>
      <c r="N15" s="7">
        <f>SUM(J15,M15)</f>
        <v>3</v>
      </c>
      <c r="O15" s="7"/>
      <c r="P15" s="7"/>
      <c r="Q15" s="7">
        <v>1</v>
      </c>
      <c r="R15" s="7">
        <f t="shared" si="3"/>
        <v>1</v>
      </c>
      <c r="S15" s="7"/>
      <c r="T15" s="7"/>
      <c r="U15" s="7"/>
      <c r="V15" s="7"/>
      <c r="W15" s="7" t="s">
        <v>72</v>
      </c>
      <c r="X15" s="7"/>
      <c r="Y15" s="7" t="s">
        <v>73</v>
      </c>
      <c r="Z15" s="7"/>
      <c r="AA15" s="8"/>
      <c r="AB15" s="8"/>
      <c r="AC15" s="9"/>
      <c r="AD15" s="7"/>
    </row>
    <row r="16" spans="1:30">
      <c r="A16" s="7" t="s">
        <v>87</v>
      </c>
      <c r="B16" s="7"/>
      <c r="C16" s="7"/>
      <c r="D16" s="7">
        <v>32</v>
      </c>
      <c r="E16" s="7"/>
      <c r="F16" s="7"/>
      <c r="G16" s="7">
        <v>17</v>
      </c>
      <c r="H16" s="7">
        <f>SUM(F16,G16)</f>
        <v>17</v>
      </c>
      <c r="I16" s="7"/>
      <c r="J16" s="7"/>
      <c r="K16" s="7"/>
      <c r="L16" s="7">
        <v>13</v>
      </c>
      <c r="M16" s="7">
        <f>SUM(K16,L16)</f>
        <v>13</v>
      </c>
      <c r="N16" s="7">
        <f>SUM(M16,J16)</f>
        <v>13</v>
      </c>
      <c r="O16" s="7"/>
      <c r="P16" s="7"/>
      <c r="Q16" s="7">
        <v>4</v>
      </c>
      <c r="R16" s="7">
        <f t="shared" si="3"/>
        <v>4</v>
      </c>
      <c r="S16" s="7"/>
      <c r="T16" s="7"/>
      <c r="U16" s="7"/>
      <c r="V16" s="7"/>
      <c r="W16" s="7" t="s">
        <v>62</v>
      </c>
      <c r="X16" s="7"/>
      <c r="Y16" s="7"/>
      <c r="Z16" s="7"/>
      <c r="AA16" s="8"/>
      <c r="AB16" s="8"/>
      <c r="AC16" s="9"/>
      <c r="AD16" s="7"/>
    </row>
    <row r="17" spans="1:3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B17" s="8"/>
      <c r="AC17" s="9"/>
      <c r="AD17" s="7"/>
    </row>
    <row r="18" spans="1:30" s="12" customFormat="1">
      <c r="A18" s="11" t="s">
        <v>83</v>
      </c>
      <c r="B18" s="11"/>
      <c r="C18" s="11"/>
      <c r="D18" s="11">
        <v>45</v>
      </c>
      <c r="E18" s="11"/>
      <c r="F18" s="11"/>
      <c r="G18" s="11">
        <v>1</v>
      </c>
      <c r="H18" s="11">
        <f>SUM(F18:G18)</f>
        <v>1</v>
      </c>
      <c r="I18" s="11"/>
      <c r="J18" s="11"/>
      <c r="K18" s="11"/>
      <c r="L18" s="11"/>
      <c r="M18" s="11">
        <f>SUM(K18:L18)</f>
        <v>0</v>
      </c>
      <c r="N18" s="11">
        <f>SUM(J18,M18)</f>
        <v>0</v>
      </c>
      <c r="O18" s="11"/>
      <c r="P18" s="11"/>
      <c r="Q18" s="11"/>
      <c r="R18" s="11">
        <f>SUM(P18,Q18)</f>
        <v>0</v>
      </c>
      <c r="S18" s="11"/>
      <c r="T18" s="11"/>
      <c r="U18" s="11"/>
      <c r="V18" s="11"/>
      <c r="W18" s="11" t="s">
        <v>33</v>
      </c>
      <c r="X18" s="11"/>
      <c r="Y18" s="11" t="s">
        <v>34</v>
      </c>
      <c r="Z18" s="11"/>
      <c r="AC18" s="13"/>
      <c r="AD18" s="11"/>
    </row>
    <row r="19" spans="1:30" s="12" customFormat="1">
      <c r="A19" s="15" t="s">
        <v>49</v>
      </c>
      <c r="B19" s="11"/>
      <c r="C19" s="11"/>
      <c r="D19" s="11">
        <v>30</v>
      </c>
      <c r="E19" s="11"/>
      <c r="F19" s="11"/>
      <c r="G19" s="11">
        <v>1</v>
      </c>
      <c r="H19" s="11">
        <f>SUM(F19:G19)</f>
        <v>1</v>
      </c>
      <c r="I19" s="11"/>
      <c r="J19" s="11"/>
      <c r="K19" s="11"/>
      <c r="L19" s="11"/>
      <c r="M19" s="11">
        <f>SUM(K19:L19)</f>
        <v>0</v>
      </c>
      <c r="N19" s="11">
        <f>SUM(J19,M19)</f>
        <v>0</v>
      </c>
      <c r="O19" s="11"/>
      <c r="P19" s="11"/>
      <c r="Q19" s="11">
        <v>2</v>
      </c>
      <c r="R19" s="11">
        <f>SUM(P19,Q19)</f>
        <v>2</v>
      </c>
      <c r="S19" s="11"/>
      <c r="T19" s="11"/>
      <c r="U19" s="11"/>
      <c r="V19" s="11"/>
      <c r="W19" s="11" t="s">
        <v>50</v>
      </c>
      <c r="X19" s="11"/>
      <c r="Y19" s="11" t="s">
        <v>51</v>
      </c>
      <c r="Z19" s="11"/>
      <c r="AC19" s="13"/>
      <c r="AD19" s="11"/>
    </row>
    <row r="20" spans="1:30" s="12" customFormat="1">
      <c r="A20" s="11" t="s">
        <v>132</v>
      </c>
      <c r="B20" s="11"/>
      <c r="C20" s="11"/>
      <c r="D20" s="11">
        <v>34</v>
      </c>
      <c r="E20" s="11"/>
      <c r="F20" s="11"/>
      <c r="G20" s="11">
        <v>1</v>
      </c>
      <c r="H20" s="11">
        <f>SUM(F20,G20)</f>
        <v>1</v>
      </c>
      <c r="I20" s="11"/>
      <c r="J20" s="11"/>
      <c r="K20" s="11"/>
      <c r="L20" s="11">
        <v>1</v>
      </c>
      <c r="M20" s="11">
        <f>SUM(K20,L20)</f>
        <v>1</v>
      </c>
      <c r="N20" s="11">
        <f>SUM(M20,J20)</f>
        <v>1</v>
      </c>
      <c r="O20" s="11"/>
      <c r="P20" s="11"/>
      <c r="Q20" s="11"/>
      <c r="R20" s="11">
        <f>SUM(P20,Q20)</f>
        <v>0</v>
      </c>
      <c r="S20" s="11"/>
      <c r="T20" s="11"/>
      <c r="U20" s="11"/>
      <c r="V20" s="11"/>
      <c r="W20" s="11"/>
      <c r="X20" s="11"/>
      <c r="Y20" s="11"/>
      <c r="Z20" s="11"/>
      <c r="AC20" s="13"/>
      <c r="AD20" s="11"/>
    </row>
    <row r="21" spans="1:3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  <c r="AB21" s="8"/>
      <c r="AC21" s="9"/>
      <c r="AD21" s="7"/>
    </row>
    <row r="22" spans="1:30" s="12" customFormat="1">
      <c r="A22" s="11" t="s">
        <v>30</v>
      </c>
      <c r="B22" s="11"/>
      <c r="C22" s="11"/>
      <c r="D22" s="11">
        <v>4</v>
      </c>
      <c r="E22" s="11"/>
      <c r="F22" s="11"/>
      <c r="G22" s="11"/>
      <c r="H22" s="11">
        <f t="shared" ref="H22:H35" si="4">SUM(F22:G22)</f>
        <v>0</v>
      </c>
      <c r="I22" s="11"/>
      <c r="J22" s="11"/>
      <c r="K22" s="11"/>
      <c r="L22" s="11"/>
      <c r="M22" s="11">
        <f t="shared" ref="M22:M35" si="5">SUM(K22:L22)</f>
        <v>0</v>
      </c>
      <c r="N22" s="11">
        <f t="shared" ref="N22:N36" si="6">SUM(J22,M22)</f>
        <v>0</v>
      </c>
      <c r="O22" s="11"/>
      <c r="P22" s="11"/>
      <c r="Q22" s="11"/>
      <c r="R22" s="11">
        <f t="shared" ref="R22:R39" si="7">SUM(P22,Q22)</f>
        <v>0</v>
      </c>
      <c r="S22" s="11"/>
      <c r="T22" s="11"/>
      <c r="U22" s="11"/>
      <c r="V22" s="11"/>
      <c r="W22" s="11" t="s">
        <v>31</v>
      </c>
      <c r="X22" s="11"/>
      <c r="Y22" s="11" t="s">
        <v>32</v>
      </c>
      <c r="Z22" s="11"/>
      <c r="AC22" s="13"/>
      <c r="AD22" s="11"/>
    </row>
    <row r="23" spans="1:30" s="12" customFormat="1">
      <c r="A23" s="11" t="s">
        <v>66</v>
      </c>
      <c r="B23" s="11"/>
      <c r="C23" s="11"/>
      <c r="D23" s="11">
        <v>9</v>
      </c>
      <c r="E23" s="11"/>
      <c r="F23" s="11"/>
      <c r="G23" s="11"/>
      <c r="H23" s="11">
        <f t="shared" si="4"/>
        <v>0</v>
      </c>
      <c r="I23" s="11"/>
      <c r="J23" s="11">
        <v>1</v>
      </c>
      <c r="K23" s="11"/>
      <c r="L23" s="11"/>
      <c r="M23" s="11">
        <f t="shared" si="5"/>
        <v>0</v>
      </c>
      <c r="N23" s="11">
        <f t="shared" si="6"/>
        <v>1</v>
      </c>
      <c r="O23" s="11"/>
      <c r="P23" s="11">
        <v>1</v>
      </c>
      <c r="Q23" s="11"/>
      <c r="R23" s="11">
        <f t="shared" si="7"/>
        <v>1</v>
      </c>
      <c r="S23" s="11"/>
      <c r="T23" s="11"/>
      <c r="U23" s="11"/>
      <c r="V23" s="11"/>
      <c r="W23" s="11" t="s">
        <v>67</v>
      </c>
      <c r="X23" s="11"/>
      <c r="Y23" s="11"/>
      <c r="Z23" s="11"/>
      <c r="AC23" s="13"/>
      <c r="AD23" s="11"/>
    </row>
    <row r="24" spans="1:30" s="12" customFormat="1">
      <c r="A24" s="11" t="s">
        <v>68</v>
      </c>
      <c r="B24" s="11"/>
      <c r="C24" s="11"/>
      <c r="D24" s="11">
        <v>31</v>
      </c>
      <c r="E24" s="11"/>
      <c r="F24" s="11"/>
      <c r="G24" s="11"/>
      <c r="H24" s="11">
        <f t="shared" si="4"/>
        <v>0</v>
      </c>
      <c r="I24" s="11"/>
      <c r="J24" s="11">
        <v>6</v>
      </c>
      <c r="K24" s="11"/>
      <c r="L24" s="11"/>
      <c r="M24" s="11">
        <f t="shared" si="5"/>
        <v>0</v>
      </c>
      <c r="N24" s="11">
        <f t="shared" si="6"/>
        <v>6</v>
      </c>
      <c r="O24" s="11"/>
      <c r="P24" s="11"/>
      <c r="Q24" s="11"/>
      <c r="R24" s="11">
        <f t="shared" si="7"/>
        <v>0</v>
      </c>
      <c r="S24" s="11"/>
      <c r="T24" s="11"/>
      <c r="U24" s="11"/>
      <c r="V24" s="11"/>
      <c r="W24" s="11" t="s">
        <v>69</v>
      </c>
      <c r="X24" s="11"/>
      <c r="Y24" s="11" t="s">
        <v>70</v>
      </c>
      <c r="Z24" s="11"/>
      <c r="AC24" s="13"/>
      <c r="AD24" s="11"/>
    </row>
    <row r="25" spans="1:30" s="12" customFormat="1">
      <c r="A25" s="11" t="s">
        <v>152</v>
      </c>
      <c r="B25" s="11"/>
      <c r="C25" s="11"/>
      <c r="D25" s="11"/>
      <c r="E25" s="11"/>
      <c r="F25" s="11">
        <v>1</v>
      </c>
      <c r="G25" s="11"/>
      <c r="H25" s="11">
        <f>SUM(F25,G25)</f>
        <v>1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C25" s="13"/>
      <c r="AD25" s="11"/>
    </row>
    <row r="26" spans="1:30" s="12" customFormat="1">
      <c r="A26" s="11" t="s">
        <v>151</v>
      </c>
      <c r="B26" s="11"/>
      <c r="C26" s="11"/>
      <c r="D26" s="11"/>
      <c r="E26" s="11"/>
      <c r="F26" s="11">
        <v>1</v>
      </c>
      <c r="G26" s="11"/>
      <c r="H26" s="11">
        <f>SUM(F26,G26)</f>
        <v>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C26" s="13"/>
      <c r="AD26" s="11"/>
    </row>
    <row r="27" spans="1:30" s="12" customFormat="1">
      <c r="A27" s="11" t="s">
        <v>26</v>
      </c>
      <c r="B27" s="11"/>
      <c r="C27" s="11"/>
      <c r="D27" s="11">
        <v>25</v>
      </c>
      <c r="E27" s="11"/>
      <c r="F27" s="11"/>
      <c r="G27" s="11"/>
      <c r="H27" s="11">
        <f t="shared" si="4"/>
        <v>0</v>
      </c>
      <c r="I27" s="11"/>
      <c r="J27" s="11">
        <v>1</v>
      </c>
      <c r="K27" s="11"/>
      <c r="L27" s="11"/>
      <c r="M27" s="11">
        <f t="shared" si="5"/>
        <v>0</v>
      </c>
      <c r="N27" s="11">
        <f t="shared" si="6"/>
        <v>1</v>
      </c>
      <c r="O27" s="11"/>
      <c r="P27" s="11"/>
      <c r="Q27" s="11"/>
      <c r="R27" s="11">
        <f t="shared" si="7"/>
        <v>0</v>
      </c>
      <c r="S27" s="11"/>
      <c r="T27" s="11"/>
      <c r="U27" s="11"/>
      <c r="V27" s="11"/>
      <c r="W27" s="11" t="s">
        <v>27</v>
      </c>
      <c r="X27" s="11"/>
      <c r="Y27" s="11"/>
      <c r="Z27" s="11"/>
      <c r="AC27" s="13"/>
      <c r="AD27" s="11"/>
    </row>
    <row r="28" spans="1:30" s="12" customFormat="1">
      <c r="A28" s="11" t="s">
        <v>53</v>
      </c>
      <c r="B28" s="11"/>
      <c r="C28" s="11"/>
      <c r="D28" s="11">
        <v>17</v>
      </c>
      <c r="E28" s="11"/>
      <c r="F28" s="11"/>
      <c r="G28" s="11"/>
      <c r="H28" s="11">
        <f t="shared" si="4"/>
        <v>0</v>
      </c>
      <c r="I28" s="11"/>
      <c r="J28" s="11"/>
      <c r="K28" s="11"/>
      <c r="L28" s="11"/>
      <c r="M28" s="11">
        <f t="shared" si="5"/>
        <v>0</v>
      </c>
      <c r="N28" s="11">
        <f t="shared" si="6"/>
        <v>0</v>
      </c>
      <c r="O28" s="11"/>
      <c r="P28" s="11"/>
      <c r="Q28" s="11"/>
      <c r="R28" s="11">
        <f t="shared" si="7"/>
        <v>0</v>
      </c>
      <c r="S28" s="11"/>
      <c r="T28" s="11"/>
      <c r="U28" s="11"/>
      <c r="V28" s="11"/>
      <c r="W28" s="11" t="s">
        <v>54</v>
      </c>
      <c r="X28" s="11"/>
      <c r="Y28" s="11" t="s">
        <v>55</v>
      </c>
      <c r="Z28" s="11"/>
      <c r="AC28" s="13"/>
      <c r="AD28" s="11"/>
    </row>
    <row r="29" spans="1:30" s="12" customFormat="1">
      <c r="A29" s="11" t="s">
        <v>85</v>
      </c>
      <c r="B29" s="11"/>
      <c r="C29" s="11"/>
      <c r="D29" s="11"/>
      <c r="E29" s="11"/>
      <c r="F29" s="11"/>
      <c r="G29" s="11"/>
      <c r="H29" s="11">
        <f t="shared" si="4"/>
        <v>0</v>
      </c>
      <c r="I29" s="11"/>
      <c r="J29" s="11"/>
      <c r="K29" s="11"/>
      <c r="L29" s="11"/>
      <c r="M29" s="11">
        <f t="shared" si="5"/>
        <v>0</v>
      </c>
      <c r="N29" s="11">
        <f t="shared" si="6"/>
        <v>0</v>
      </c>
      <c r="O29" s="11"/>
      <c r="P29" s="11"/>
      <c r="Q29" s="11"/>
      <c r="R29" s="11">
        <f t="shared" si="7"/>
        <v>0</v>
      </c>
      <c r="S29" s="11"/>
      <c r="T29" s="11"/>
      <c r="U29" s="11"/>
      <c r="V29" s="11"/>
      <c r="W29" s="11" t="s">
        <v>52</v>
      </c>
      <c r="X29" s="11"/>
      <c r="Y29" s="11"/>
      <c r="Z29" s="11"/>
      <c r="AC29" s="13"/>
      <c r="AD29" s="11"/>
    </row>
    <row r="30" spans="1:30" s="12" customFormat="1">
      <c r="A30" s="11" t="s">
        <v>56</v>
      </c>
      <c r="B30" s="11"/>
      <c r="C30" s="11"/>
      <c r="D30" s="11">
        <v>20</v>
      </c>
      <c r="E30" s="11"/>
      <c r="F30" s="11"/>
      <c r="G30" s="11"/>
      <c r="H30" s="11">
        <f t="shared" si="4"/>
        <v>0</v>
      </c>
      <c r="I30" s="11"/>
      <c r="J30" s="11"/>
      <c r="K30" s="11"/>
      <c r="L30" s="11"/>
      <c r="M30" s="11">
        <f t="shared" si="5"/>
        <v>0</v>
      </c>
      <c r="N30" s="11">
        <f t="shared" si="6"/>
        <v>0</v>
      </c>
      <c r="O30" s="11"/>
      <c r="P30" s="11">
        <v>1</v>
      </c>
      <c r="Q30" s="11"/>
      <c r="R30" s="11">
        <f t="shared" si="7"/>
        <v>1</v>
      </c>
      <c r="S30" s="11"/>
      <c r="T30" s="11"/>
      <c r="U30" s="11"/>
      <c r="V30" s="11"/>
      <c r="W30" s="11" t="s">
        <v>57</v>
      </c>
      <c r="X30" s="11"/>
      <c r="Y30" s="11"/>
      <c r="Z30" s="11"/>
      <c r="AC30" s="13"/>
      <c r="AD30" s="11"/>
    </row>
    <row r="31" spans="1:30" s="12" customFormat="1">
      <c r="A31" s="11" t="s">
        <v>82</v>
      </c>
      <c r="B31" s="11"/>
      <c r="C31" s="11"/>
      <c r="D31" s="11"/>
      <c r="E31" s="11"/>
      <c r="F31" s="11"/>
      <c r="G31" s="11"/>
      <c r="H31" s="11">
        <f t="shared" si="4"/>
        <v>0</v>
      </c>
      <c r="I31" s="11"/>
      <c r="J31" s="11"/>
      <c r="K31" s="11"/>
      <c r="L31" s="11"/>
      <c r="M31" s="11">
        <f t="shared" si="5"/>
        <v>0</v>
      </c>
      <c r="N31" s="11">
        <f t="shared" si="6"/>
        <v>0</v>
      </c>
      <c r="O31" s="11"/>
      <c r="P31" s="11"/>
      <c r="Q31" s="11"/>
      <c r="R31" s="11">
        <f t="shared" si="7"/>
        <v>0</v>
      </c>
      <c r="S31" s="11"/>
      <c r="T31" s="11"/>
      <c r="U31" s="11"/>
      <c r="V31" s="11"/>
      <c r="W31" s="11" t="s">
        <v>35</v>
      </c>
      <c r="X31" s="11"/>
      <c r="Y31" s="11"/>
      <c r="Z31" s="11"/>
      <c r="AC31" s="13"/>
      <c r="AD31" s="11"/>
    </row>
    <row r="32" spans="1:30" s="12" customFormat="1">
      <c r="A32" s="11" t="s">
        <v>150</v>
      </c>
      <c r="B32" s="11"/>
      <c r="C32" s="11"/>
      <c r="D32" s="11"/>
      <c r="E32" s="11"/>
      <c r="F32" s="11">
        <v>1</v>
      </c>
      <c r="G32" s="11"/>
      <c r="H32" s="11">
        <f>SUM(F32,G32)</f>
        <v>1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C32" s="13"/>
      <c r="AD32" s="11"/>
    </row>
    <row r="33" spans="1:30" s="12" customFormat="1">
      <c r="A33" s="11" t="s">
        <v>42</v>
      </c>
      <c r="B33" s="11"/>
      <c r="C33" s="11"/>
      <c r="D33" s="11">
        <v>21</v>
      </c>
      <c r="E33" s="11"/>
      <c r="F33" s="11"/>
      <c r="G33" s="11"/>
      <c r="H33" s="11">
        <f t="shared" si="4"/>
        <v>0</v>
      </c>
      <c r="I33" s="11"/>
      <c r="J33" s="11"/>
      <c r="K33" s="11"/>
      <c r="L33" s="11"/>
      <c r="M33" s="11">
        <f t="shared" si="5"/>
        <v>0</v>
      </c>
      <c r="N33" s="11">
        <f t="shared" si="6"/>
        <v>0</v>
      </c>
      <c r="O33" s="11"/>
      <c r="P33" s="11"/>
      <c r="Q33" s="11"/>
      <c r="R33" s="11">
        <f t="shared" si="7"/>
        <v>0</v>
      </c>
      <c r="S33" s="11"/>
      <c r="T33" s="11"/>
      <c r="U33" s="11"/>
      <c r="V33" s="11"/>
      <c r="W33" s="11" t="s">
        <v>43</v>
      </c>
      <c r="X33" s="11"/>
      <c r="Y33" s="11"/>
      <c r="Z33" s="11"/>
      <c r="AC33" s="13"/>
      <c r="AD33" s="11"/>
    </row>
    <row r="34" spans="1:30" s="12" customFormat="1">
      <c r="A34" s="11" t="s">
        <v>39</v>
      </c>
      <c r="B34" s="11"/>
      <c r="C34" s="11"/>
      <c r="D34" s="11">
        <v>14</v>
      </c>
      <c r="E34" s="11"/>
      <c r="F34" s="11"/>
      <c r="G34" s="11"/>
      <c r="H34" s="11">
        <f t="shared" si="4"/>
        <v>0</v>
      </c>
      <c r="I34" s="11"/>
      <c r="J34" s="11"/>
      <c r="K34" s="11"/>
      <c r="L34" s="11"/>
      <c r="M34" s="11">
        <f t="shared" si="5"/>
        <v>0</v>
      </c>
      <c r="N34" s="11">
        <f t="shared" si="6"/>
        <v>0</v>
      </c>
      <c r="O34" s="11"/>
      <c r="P34" s="11"/>
      <c r="Q34" s="11"/>
      <c r="R34" s="11">
        <f t="shared" si="7"/>
        <v>0</v>
      </c>
      <c r="S34" s="11"/>
      <c r="T34" s="11"/>
      <c r="U34" s="11"/>
      <c r="V34" s="11"/>
      <c r="W34" s="11" t="s">
        <v>40</v>
      </c>
      <c r="X34" s="11"/>
      <c r="Y34" s="11" t="s">
        <v>41</v>
      </c>
      <c r="Z34" s="11"/>
      <c r="AC34" s="13"/>
      <c r="AD34" s="11"/>
    </row>
    <row r="35" spans="1:30" s="12" customFormat="1">
      <c r="A35" s="11" t="s">
        <v>84</v>
      </c>
      <c r="B35" s="11"/>
      <c r="C35" s="11"/>
      <c r="D35" s="11">
        <v>6</v>
      </c>
      <c r="E35" s="11"/>
      <c r="F35" s="11"/>
      <c r="G35" s="11"/>
      <c r="H35" s="11">
        <f t="shared" si="4"/>
        <v>0</v>
      </c>
      <c r="I35" s="11"/>
      <c r="J35" s="11"/>
      <c r="K35" s="11"/>
      <c r="L35" s="11"/>
      <c r="M35" s="11">
        <f t="shared" si="5"/>
        <v>0</v>
      </c>
      <c r="N35" s="11">
        <f t="shared" si="6"/>
        <v>0</v>
      </c>
      <c r="O35" s="11"/>
      <c r="P35" s="11"/>
      <c r="Q35" s="11"/>
      <c r="R35" s="11">
        <f t="shared" si="7"/>
        <v>0</v>
      </c>
      <c r="S35" s="11"/>
      <c r="T35" s="11"/>
      <c r="U35" s="11"/>
      <c r="V35" s="11"/>
      <c r="W35" s="11" t="s">
        <v>38</v>
      </c>
      <c r="X35" s="11"/>
      <c r="Y35" s="11"/>
      <c r="Z35" s="11"/>
      <c r="AC35" s="13"/>
      <c r="AD35" s="11"/>
    </row>
    <row r="36" spans="1:30" s="12" customFormat="1">
      <c r="A36" s="11" t="s">
        <v>44</v>
      </c>
      <c r="B36" s="11"/>
      <c r="C36" s="11"/>
      <c r="D36" s="11"/>
      <c r="E36" s="11"/>
      <c r="F36" s="11">
        <v>1</v>
      </c>
      <c r="G36" s="11"/>
      <c r="H36" s="11">
        <f>SUM(F36,G36)</f>
        <v>1</v>
      </c>
      <c r="I36" s="11"/>
      <c r="J36" s="11">
        <v>2</v>
      </c>
      <c r="K36" s="11"/>
      <c r="L36" s="11"/>
      <c r="M36" s="11">
        <f>SUM(K36,L36)</f>
        <v>0</v>
      </c>
      <c r="N36" s="11">
        <f t="shared" si="6"/>
        <v>2</v>
      </c>
      <c r="O36" s="11"/>
      <c r="P36" s="11"/>
      <c r="Q36" s="11"/>
      <c r="R36" s="11">
        <f t="shared" si="7"/>
        <v>0</v>
      </c>
      <c r="S36" s="11"/>
      <c r="T36" s="11"/>
      <c r="U36" s="11"/>
      <c r="V36" s="11"/>
      <c r="W36" s="11" t="s">
        <v>45</v>
      </c>
      <c r="X36" s="11"/>
      <c r="Y36" s="11"/>
      <c r="Z36" s="11"/>
      <c r="AC36" s="13"/>
      <c r="AD36" s="11"/>
    </row>
    <row r="37" spans="1:30" s="12" customFormat="1">
      <c r="A37" s="11" t="s">
        <v>86</v>
      </c>
      <c r="B37" s="11"/>
      <c r="C37" s="11"/>
      <c r="D37" s="14"/>
      <c r="E37" s="11"/>
      <c r="F37" s="11"/>
      <c r="G37" s="11"/>
      <c r="H37" s="11">
        <f>SUM(F37:G37)</f>
        <v>0</v>
      </c>
      <c r="I37" s="11"/>
      <c r="J37" s="11"/>
      <c r="K37" s="11"/>
      <c r="L37" s="11"/>
      <c r="M37" s="11">
        <f>SUM(K37:L37)</f>
        <v>0</v>
      </c>
      <c r="N37" s="11">
        <f>SUM(M37,J37)</f>
        <v>0</v>
      </c>
      <c r="O37" s="11"/>
      <c r="P37" s="11"/>
      <c r="Q37" s="11"/>
      <c r="R37" s="11">
        <f t="shared" si="7"/>
        <v>0</v>
      </c>
      <c r="S37" s="11"/>
      <c r="T37" s="11"/>
      <c r="U37" s="11"/>
      <c r="V37" s="11"/>
      <c r="W37" s="11" t="s">
        <v>27</v>
      </c>
      <c r="X37" s="11"/>
      <c r="Y37" s="11"/>
      <c r="Z37" s="11"/>
      <c r="AC37" s="13"/>
      <c r="AD37" s="11"/>
    </row>
    <row r="38" spans="1:30" s="12" customFormat="1">
      <c r="A38" s="11" t="s">
        <v>74</v>
      </c>
      <c r="B38" s="11"/>
      <c r="C38" s="11"/>
      <c r="D38" s="11"/>
      <c r="E38" s="11"/>
      <c r="F38" s="11"/>
      <c r="G38" s="11"/>
      <c r="H38" s="11">
        <f>SUM(F38:G38)</f>
        <v>0</v>
      </c>
      <c r="I38" s="11"/>
      <c r="J38" s="11"/>
      <c r="K38" s="11"/>
      <c r="L38" s="11"/>
      <c r="M38" s="11">
        <f>SUM(K38,L38)</f>
        <v>0</v>
      </c>
      <c r="N38" s="11">
        <f>SUM(J38,M38)</f>
        <v>0</v>
      </c>
      <c r="O38" s="11"/>
      <c r="P38" s="11"/>
      <c r="Q38" s="11"/>
      <c r="R38" s="11">
        <f t="shared" si="7"/>
        <v>0</v>
      </c>
      <c r="S38" s="11"/>
      <c r="T38" s="11"/>
      <c r="U38" s="11"/>
      <c r="V38" s="11"/>
      <c r="W38" s="11" t="s">
        <v>75</v>
      </c>
      <c r="X38" s="11"/>
      <c r="Y38" s="11"/>
      <c r="Z38" s="11"/>
      <c r="AC38" s="13"/>
      <c r="AD38" s="11"/>
    </row>
    <row r="39" spans="1:30" s="12" customFormat="1">
      <c r="A39" s="11" t="s">
        <v>64</v>
      </c>
      <c r="B39" s="11"/>
      <c r="C39" s="11"/>
      <c r="D39" s="11">
        <v>7</v>
      </c>
      <c r="E39" s="11"/>
      <c r="F39" s="11"/>
      <c r="G39" s="11"/>
      <c r="H39" s="11">
        <f>SUM(F39,G39)</f>
        <v>0</v>
      </c>
      <c r="I39" s="11"/>
      <c r="J39" s="11">
        <v>1</v>
      </c>
      <c r="K39" s="11"/>
      <c r="L39" s="11"/>
      <c r="M39" s="11">
        <f>SUM(K39,L39)</f>
        <v>0</v>
      </c>
      <c r="N39" s="11">
        <f>SUM(J39,M39)</f>
        <v>1</v>
      </c>
      <c r="O39" s="11"/>
      <c r="P39" s="11">
        <v>1</v>
      </c>
      <c r="Q39" s="11"/>
      <c r="R39" s="11">
        <f t="shared" si="7"/>
        <v>1</v>
      </c>
      <c r="S39" s="11"/>
      <c r="T39" s="11"/>
      <c r="U39" s="11"/>
      <c r="V39" s="11"/>
      <c r="W39" s="11" t="s">
        <v>65</v>
      </c>
      <c r="X39" s="11"/>
      <c r="Y39" s="11"/>
      <c r="Z39" s="11"/>
      <c r="AC39" s="13"/>
      <c r="AD39" s="11"/>
    </row>
    <row r="40" spans="1:30">
      <c r="A40" s="7"/>
      <c r="B40" s="7"/>
      <c r="C40" s="7"/>
      <c r="D40" s="1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/>
      <c r="AB40" s="8"/>
      <c r="AC40" s="9"/>
      <c r="AD40" s="7"/>
    </row>
    <row r="41" spans="1:30">
      <c r="A41" s="16" t="s">
        <v>147</v>
      </c>
      <c r="B41" s="16"/>
      <c r="C41" s="7"/>
      <c r="D41" s="1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8"/>
      <c r="AB41" s="8"/>
      <c r="AC41" s="9"/>
      <c r="AD41" s="7"/>
    </row>
    <row r="42" spans="1:30">
      <c r="A42" s="7"/>
      <c r="B42" s="7"/>
      <c r="C42" s="7"/>
      <c r="D42" s="1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8"/>
      <c r="AB42" s="8"/>
      <c r="AC42" s="9"/>
      <c r="AD42" s="7"/>
    </row>
    <row r="43" spans="1:30">
      <c r="A43" s="9">
        <v>44456</v>
      </c>
      <c r="B43" s="7"/>
      <c r="C43" s="7" t="s">
        <v>148</v>
      </c>
      <c r="D43" s="10"/>
      <c r="E43" s="7" t="s">
        <v>149</v>
      </c>
      <c r="F43" s="11" t="s">
        <v>135</v>
      </c>
      <c r="G43" s="1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8"/>
      <c r="AB43" s="8"/>
      <c r="AC43" s="9"/>
      <c r="AD43" s="7"/>
    </row>
    <row r="44" spans="1:30">
      <c r="A44" s="9"/>
      <c r="B44" s="7"/>
      <c r="C44" s="7"/>
      <c r="D44" s="1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B44" s="8"/>
      <c r="AC44" s="9"/>
      <c r="AD44" s="7"/>
    </row>
    <row r="45" spans="1:3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16" t="s">
        <v>76</v>
      </c>
      <c r="B46" s="16"/>
      <c r="C46" s="1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6">
        <v>44495</v>
      </c>
      <c r="B48" s="4"/>
      <c r="C48" s="4" t="s">
        <v>77</v>
      </c>
      <c r="D48" s="4"/>
      <c r="E48" s="4" t="s">
        <v>78</v>
      </c>
      <c r="F48" s="11" t="s">
        <v>79</v>
      </c>
      <c r="G48" s="1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/>
      <c r="B49" s="4"/>
      <c r="C49" s="4"/>
      <c r="D49" s="4"/>
      <c r="E49" s="4"/>
      <c r="F49" s="11" t="s">
        <v>80</v>
      </c>
      <c r="G49" s="1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/>
      <c r="B50" s="4"/>
      <c r="C50" s="4"/>
      <c r="D50" s="4"/>
      <c r="E50" s="4"/>
      <c r="F50" s="11" t="s">
        <v>81</v>
      </c>
      <c r="G50" s="1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6">
        <v>44510</v>
      </c>
      <c r="B52" s="4"/>
      <c r="C52" s="11" t="s">
        <v>79</v>
      </c>
      <c r="D52" s="11"/>
      <c r="E52" s="4" t="s">
        <v>94</v>
      </c>
      <c r="F52" s="4" t="s">
        <v>95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/>
      <c r="B53" s="4"/>
      <c r="C53" s="11" t="s">
        <v>96</v>
      </c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6">
        <v>44517</v>
      </c>
      <c r="B55" s="4"/>
      <c r="C55" s="4" t="s">
        <v>97</v>
      </c>
      <c r="D55" s="4"/>
      <c r="E55" s="4" t="s">
        <v>98</v>
      </c>
      <c r="F55" s="11" t="s">
        <v>79</v>
      </c>
      <c r="G55" s="1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/>
      <c r="B56" s="4"/>
      <c r="C56" s="4"/>
      <c r="D56" s="4"/>
      <c r="E56" s="4"/>
      <c r="F56" s="11" t="s">
        <v>99</v>
      </c>
      <c r="G56" s="1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/>
      <c r="B57" s="4"/>
      <c r="C57" s="4"/>
      <c r="D57" s="4"/>
      <c r="E57" s="4"/>
      <c r="F57" s="11" t="s">
        <v>100</v>
      </c>
      <c r="G57" s="1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6">
        <v>44524</v>
      </c>
      <c r="B59" s="4"/>
      <c r="C59" s="4" t="s">
        <v>101</v>
      </c>
      <c r="D59" s="4"/>
      <c r="E59" s="4" t="s">
        <v>102</v>
      </c>
      <c r="F59" s="11" t="s">
        <v>79</v>
      </c>
      <c r="G59" s="1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/>
      <c r="B60" s="4"/>
      <c r="C60" s="4"/>
      <c r="D60" s="4"/>
      <c r="E60" s="4"/>
      <c r="F60" s="11" t="s">
        <v>103</v>
      </c>
      <c r="G60" s="1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/>
      <c r="B61" s="4"/>
      <c r="C61" s="4"/>
      <c r="D61" s="4"/>
      <c r="E61" s="4"/>
      <c r="F61" s="11" t="s">
        <v>104</v>
      </c>
      <c r="G61" s="1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/>
      <c r="B62" s="4"/>
      <c r="C62" s="4"/>
      <c r="D62" s="4"/>
      <c r="E62" s="4"/>
      <c r="F62" s="11" t="s">
        <v>81</v>
      </c>
      <c r="G62" s="1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6">
        <v>44530</v>
      </c>
      <c r="B64" s="4"/>
      <c r="C64" s="11" t="s">
        <v>79</v>
      </c>
      <c r="D64" s="11"/>
      <c r="E64" s="4" t="s">
        <v>105</v>
      </c>
      <c r="F64" s="4" t="s">
        <v>106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/>
      <c r="B65" s="4"/>
      <c r="C65" s="11" t="s">
        <v>100</v>
      </c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/>
      <c r="B66" s="4"/>
      <c r="C66" s="11" t="s">
        <v>107</v>
      </c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6">
        <v>44537</v>
      </c>
      <c r="B68" s="4"/>
      <c r="C68" s="11" t="s">
        <v>79</v>
      </c>
      <c r="D68" s="11"/>
      <c r="E68" s="4" t="s">
        <v>108</v>
      </c>
      <c r="F68" s="4" t="s">
        <v>109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/>
      <c r="B69" s="4"/>
      <c r="C69" s="11" t="s">
        <v>100</v>
      </c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6">
        <v>44545</v>
      </c>
      <c r="B71" s="4"/>
      <c r="C71" s="11" t="s">
        <v>79</v>
      </c>
      <c r="D71" s="11"/>
      <c r="E71" s="4" t="s">
        <v>94</v>
      </c>
      <c r="F71" s="4" t="s">
        <v>110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/>
      <c r="B72" s="4"/>
      <c r="C72" s="11" t="s">
        <v>99</v>
      </c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/>
      <c r="B73" s="4"/>
      <c r="C73" s="11" t="s">
        <v>100</v>
      </c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6">
        <v>44594</v>
      </c>
      <c r="B75" s="4"/>
      <c r="C75" s="11" t="s">
        <v>79</v>
      </c>
      <c r="D75" s="11"/>
      <c r="E75" s="4" t="s">
        <v>112</v>
      </c>
      <c r="F75" s="4" t="s">
        <v>111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6">
        <v>44610</v>
      </c>
      <c r="B77" s="4"/>
      <c r="C77" s="4" t="s">
        <v>113</v>
      </c>
      <c r="D77" s="4"/>
      <c r="E77" s="4" t="s">
        <v>114</v>
      </c>
      <c r="F77" s="11" t="s">
        <v>79</v>
      </c>
      <c r="G77" s="1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/>
      <c r="B78" s="4"/>
      <c r="C78" s="4"/>
      <c r="D78" s="4"/>
      <c r="E78" s="4"/>
      <c r="F78" s="11" t="s">
        <v>115</v>
      </c>
      <c r="G78" s="1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6">
        <v>44614</v>
      </c>
      <c r="B80" s="4"/>
      <c r="C80" s="11" t="s">
        <v>79</v>
      </c>
      <c r="D80" s="11"/>
      <c r="E80" s="4" t="s">
        <v>116</v>
      </c>
      <c r="F80" s="4" t="s">
        <v>117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/>
      <c r="B81" s="4"/>
      <c r="C81" s="11" t="s">
        <v>118</v>
      </c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/>
      <c r="B82" s="4"/>
      <c r="C82" s="11" t="s">
        <v>119</v>
      </c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/>
      <c r="B83" s="4"/>
      <c r="C83" s="11" t="s">
        <v>100</v>
      </c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/>
      <c r="B84" s="4"/>
      <c r="C84" s="11" t="s">
        <v>99</v>
      </c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6">
        <v>44617</v>
      </c>
      <c r="B86" s="4"/>
      <c r="C86" s="4" t="s">
        <v>120</v>
      </c>
      <c r="D86" s="4"/>
      <c r="E86" s="4" t="s">
        <v>121</v>
      </c>
      <c r="F86" s="11" t="s">
        <v>79</v>
      </c>
      <c r="G86" s="1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/>
      <c r="B87" s="4"/>
      <c r="C87" s="4"/>
      <c r="D87" s="4"/>
      <c r="E87" s="4"/>
      <c r="F87" s="11" t="s">
        <v>122</v>
      </c>
      <c r="G87" s="1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3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30">
      <c r="A89" s="6">
        <v>44622</v>
      </c>
      <c r="B89" s="4"/>
      <c r="C89" s="11" t="s">
        <v>79</v>
      </c>
      <c r="D89" s="11"/>
      <c r="E89" s="4" t="s">
        <v>123</v>
      </c>
      <c r="F89" s="4" t="s">
        <v>77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30">
      <c r="A90" s="4"/>
      <c r="B90" s="4"/>
      <c r="C90" s="11" t="s">
        <v>96</v>
      </c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3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30">
      <c r="A92" s="6">
        <v>44629</v>
      </c>
      <c r="B92" s="4"/>
      <c r="C92" s="4" t="s">
        <v>124</v>
      </c>
      <c r="D92" s="4"/>
      <c r="E92" s="4" t="s">
        <v>125</v>
      </c>
      <c r="F92" s="11" t="s">
        <v>79</v>
      </c>
      <c r="G92" s="1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30">
      <c r="A93" s="4"/>
      <c r="B93" s="4"/>
      <c r="C93" s="4"/>
      <c r="D93" s="4"/>
      <c r="E93" s="4"/>
      <c r="F93" s="11" t="s">
        <v>126</v>
      </c>
      <c r="G93" s="1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3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30">
      <c r="A95" s="6">
        <v>44636</v>
      </c>
      <c r="B95" s="4"/>
      <c r="C95" s="11" t="s">
        <v>79</v>
      </c>
      <c r="D95" s="11"/>
      <c r="E95" s="4" t="s">
        <v>127</v>
      </c>
      <c r="F95" s="4" t="s">
        <v>97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30">
      <c r="A96" s="4"/>
      <c r="B96" s="4"/>
      <c r="C96" s="11" t="s">
        <v>96</v>
      </c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11" t="s">
        <v>128</v>
      </c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6">
        <v>44643</v>
      </c>
      <c r="B99" s="4"/>
      <c r="C99" s="11" t="s">
        <v>79</v>
      </c>
      <c r="D99" s="11"/>
      <c r="E99" s="4" t="s">
        <v>94</v>
      </c>
      <c r="F99" s="4" t="s">
        <v>101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11" t="s">
        <v>100</v>
      </c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11" t="s">
        <v>107</v>
      </c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6">
        <v>44650</v>
      </c>
      <c r="B103" s="4"/>
      <c r="C103" s="4" t="s">
        <v>106</v>
      </c>
      <c r="D103" s="4"/>
      <c r="E103" s="4" t="s">
        <v>108</v>
      </c>
      <c r="F103" s="11" t="s">
        <v>79</v>
      </c>
      <c r="G103" s="1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11" t="s">
        <v>81</v>
      </c>
      <c r="G104" s="1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11" t="s">
        <v>80</v>
      </c>
      <c r="G105" s="1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6">
        <v>44657</v>
      </c>
      <c r="B107" s="4"/>
      <c r="C107" s="4" t="s">
        <v>109</v>
      </c>
      <c r="D107" s="4"/>
      <c r="E107" s="4" t="s">
        <v>129</v>
      </c>
      <c r="F107" s="11" t="s">
        <v>79</v>
      </c>
      <c r="G107" s="1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6">
        <v>44664</v>
      </c>
      <c r="B109" s="4"/>
      <c r="C109" s="4" t="s">
        <v>110</v>
      </c>
      <c r="D109" s="4"/>
      <c r="E109" s="17" t="s">
        <v>130</v>
      </c>
      <c r="F109" s="11" t="s">
        <v>79</v>
      </c>
      <c r="G109" s="1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 t="s">
        <v>131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6">
        <v>44671</v>
      </c>
      <c r="B112" s="4"/>
      <c r="C112" s="4" t="s">
        <v>111</v>
      </c>
      <c r="D112" s="4"/>
      <c r="E112" s="4" t="s">
        <v>121</v>
      </c>
      <c r="F112" s="11" t="s">
        <v>79</v>
      </c>
      <c r="G112" s="1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11" t="s">
        <v>99</v>
      </c>
      <c r="G113" s="1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6">
        <v>44678</v>
      </c>
      <c r="B115" s="4"/>
      <c r="C115" s="11" t="s">
        <v>79</v>
      </c>
      <c r="D115" s="11"/>
      <c r="E115" s="4" t="s">
        <v>108</v>
      </c>
      <c r="F115" s="4" t="s">
        <v>120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11" t="s">
        <v>99</v>
      </c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6">
        <v>44685</v>
      </c>
      <c r="B118" s="4"/>
      <c r="C118" s="11" t="s">
        <v>79</v>
      </c>
      <c r="D118" s="11"/>
      <c r="E118" s="4" t="s">
        <v>98</v>
      </c>
      <c r="F118" s="4" t="s">
        <v>113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6">
        <v>44692</v>
      </c>
      <c r="B120" s="4"/>
      <c r="C120" s="4" t="s">
        <v>133</v>
      </c>
      <c r="D120" s="4"/>
      <c r="E120" s="4" t="s">
        <v>134</v>
      </c>
      <c r="F120" s="11" t="s">
        <v>135</v>
      </c>
      <c r="G120" s="1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11" t="s">
        <v>128</v>
      </c>
      <c r="G121" s="1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11" t="s">
        <v>136</v>
      </c>
      <c r="G122" s="1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11" t="s">
        <v>81</v>
      </c>
      <c r="G123" s="1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6" t="s">
        <v>137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 t="s">
        <v>138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6">
        <v>44706</v>
      </c>
      <c r="B128" s="4"/>
      <c r="C128" s="4" t="s">
        <v>120</v>
      </c>
      <c r="D128" s="4"/>
      <c r="E128" s="4" t="s">
        <v>125</v>
      </c>
      <c r="F128" s="11" t="s">
        <v>79</v>
      </c>
      <c r="G128" s="1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11" t="s">
        <v>107</v>
      </c>
      <c r="G129" s="1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6">
        <v>44713</v>
      </c>
      <c r="B131" s="4"/>
      <c r="C131" s="11" t="s">
        <v>79</v>
      </c>
      <c r="D131" s="11"/>
      <c r="E131" s="4" t="s">
        <v>139</v>
      </c>
      <c r="F131" s="4" t="s">
        <v>120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11" t="s">
        <v>99</v>
      </c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11" t="s">
        <v>100</v>
      </c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11" t="s">
        <v>115</v>
      </c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11" t="s">
        <v>96</v>
      </c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 t="s">
        <v>140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6">
        <v>44727</v>
      </c>
      <c r="B138" s="4"/>
      <c r="C138" s="4" t="s">
        <v>101</v>
      </c>
      <c r="D138" s="4"/>
      <c r="E138" s="4" t="s">
        <v>125</v>
      </c>
      <c r="F138" s="11" t="s">
        <v>79</v>
      </c>
      <c r="G138" s="1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 t="s">
        <v>142</v>
      </c>
      <c r="F139" s="11"/>
      <c r="G139" s="1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11" t="s">
        <v>100</v>
      </c>
      <c r="G140" s="1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11" t="s">
        <v>143</v>
      </c>
      <c r="G141" s="1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11" t="s">
        <v>144</v>
      </c>
      <c r="G142" s="1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11" t="s">
        <v>145</v>
      </c>
      <c r="G143" s="1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11" t="s">
        <v>146</v>
      </c>
      <c r="G144" s="1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20"/>
      <c r="B147" s="20"/>
      <c r="C147" s="20"/>
      <c r="D147" s="20"/>
      <c r="E147" s="20"/>
      <c r="F147" s="20"/>
      <c r="G147" s="20"/>
      <c r="H147" s="18"/>
      <c r="I147" s="18"/>
      <c r="J147" s="18"/>
      <c r="K147" s="18"/>
      <c r="L147" s="18"/>
      <c r="M147" s="18"/>
      <c r="N147" s="18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8"/>
      <c r="B149" s="18"/>
      <c r="C149" s="19"/>
      <c r="D149" s="19"/>
      <c r="E149" s="19"/>
      <c r="F149" s="19"/>
      <c r="G149" s="19"/>
      <c r="H149" s="18"/>
      <c r="I149" s="18"/>
      <c r="J149" s="18"/>
      <c r="K149" s="18"/>
      <c r="L149" s="18"/>
      <c r="M149" s="18"/>
      <c r="N149" s="18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8"/>
      <c r="B150" s="18"/>
      <c r="C150" s="19"/>
      <c r="D150" s="19"/>
      <c r="E150" s="19"/>
      <c r="F150" s="19"/>
      <c r="G150" s="18"/>
      <c r="H150" s="18"/>
      <c r="I150" s="18"/>
      <c r="J150" s="18"/>
      <c r="K150" s="18"/>
      <c r="L150" s="18"/>
      <c r="M150" s="18"/>
      <c r="N150" s="18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9"/>
      <c r="L153" s="18"/>
      <c r="M153" s="18"/>
      <c r="N153" s="18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</sheetData>
  <pageMargins left="0.7" right="0.7" top="0.75" bottom="0.75" header="0.3" footer="0.3"/>
  <pageSetup paperSize="9" orientation="portrait" r:id="rId1"/>
  <ignoredErrors>
    <ignoredError sqref="M37:N37 H36 M36 M10:N10 N13 H32" formula="1"/>
    <ignoredError sqref="M23:M24 M27 M5:M6 M9 M11:M12" formulaRange="1"/>
    <ignoredError sqref="M15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2024-06-20T11:57:11Z</dcterms:modified>
</cp:coreProperties>
</file>