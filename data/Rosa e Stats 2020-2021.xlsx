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tti/Developer/fun/tamarindi-web/data/"/>
    </mc:Choice>
  </mc:AlternateContent>
  <xr:revisionPtr revIDLastSave="0" documentId="13_ncr:81_{13B7B3F3-D70A-1D46-86E3-6DBD50578131}" xr6:coauthVersionLast="47" xr6:coauthVersionMax="47" xr10:uidLastSave="{00000000-0000-0000-0000-000000000000}"/>
  <bookViews>
    <workbookView xWindow="360" yWindow="620" windowWidth="18740" windowHeight="11700" xr2:uid="{00000000-000D-0000-FFFF-FFFF00000000}"/>
  </bookViews>
  <sheets>
    <sheet name="Foglio1" sheetId="1" r:id="rId1"/>
    <sheet name="Foglio2" sheetId="2" r:id="rId2"/>
    <sheet name="Foglio3" sheetId="3" r:id="rId3"/>
  </sheets>
  <calcPr calcId="191029"/>
  <customWorkbookViews>
    <customWorkbookView name="Matteo Cutroni - Personal View" guid="{BDA24EDC-855E-3043-8B0E-6E43ED6DDC1A}" mergeInterval="0" personalView="1" xWindow="18" yWindow="31" windowWidth="937" windowHeight="585" activeSheetId="1"/>
    <customWorkbookView name="Acer - Visualizzazione personale" guid="{732A3E98-21F1-4683-8627-B42F20E3CD9F}" mergeInterval="0" personalView="1" maximized="1" xWindow="1" yWindow="1" windowWidth="1916" windowHeight="80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M16" i="1"/>
  <c r="AC16" i="1" s="1"/>
  <c r="M30" i="1"/>
  <c r="AC30" i="1" s="1"/>
  <c r="M22" i="1"/>
  <c r="AC22" i="1" s="1"/>
  <c r="H22" i="1"/>
  <c r="H30" i="1"/>
  <c r="M34" i="1"/>
  <c r="AC34" i="1" s="1"/>
  <c r="M13" i="1"/>
  <c r="AC13" i="1" s="1"/>
  <c r="M17" i="1"/>
  <c r="AC17" i="1" s="1"/>
  <c r="H17" i="1"/>
  <c r="H13" i="1"/>
  <c r="H34" i="1"/>
  <c r="M19" i="1"/>
  <c r="AC19" i="1" s="1"/>
  <c r="H19" i="1"/>
  <c r="M31" i="1"/>
  <c r="AC31" i="1" s="1"/>
  <c r="M32" i="1"/>
  <c r="AC32" i="1" s="1"/>
  <c r="M33" i="1"/>
  <c r="AC33" i="1" s="1"/>
  <c r="M29" i="1"/>
  <c r="AC29" i="1" s="1"/>
  <c r="M28" i="1"/>
  <c r="AC28" i="1" s="1"/>
  <c r="M27" i="1"/>
  <c r="AC27" i="1" s="1"/>
  <c r="M24" i="1"/>
  <c r="AC24" i="1" s="1"/>
  <c r="M26" i="1"/>
  <c r="AC26" i="1" s="1"/>
  <c r="M23" i="1"/>
  <c r="AC23" i="1" s="1"/>
  <c r="M25" i="1"/>
  <c r="AC25" i="1" s="1"/>
  <c r="M21" i="1"/>
  <c r="AC21" i="1" s="1"/>
  <c r="M20" i="1"/>
  <c r="AC20" i="1" s="1"/>
  <c r="M18" i="1"/>
  <c r="AC18" i="1" s="1"/>
  <c r="M15" i="1"/>
  <c r="AC15" i="1" s="1"/>
  <c r="M14" i="1"/>
  <c r="AC14" i="1" s="1"/>
  <c r="M12" i="1"/>
  <c r="AC12" i="1" s="1"/>
  <c r="M11" i="1"/>
  <c r="AC11" i="1" s="1"/>
  <c r="M10" i="1"/>
  <c r="AC10" i="1" s="1"/>
  <c r="M9" i="1"/>
  <c r="AC9" i="1" s="1"/>
  <c r="M8" i="1"/>
  <c r="AC8" i="1" s="1"/>
  <c r="H31" i="1"/>
  <c r="H32" i="1"/>
  <c r="H33" i="1"/>
  <c r="H29" i="1"/>
  <c r="H28" i="1"/>
  <c r="H27" i="1"/>
  <c r="H24" i="1"/>
  <c r="H26" i="1"/>
  <c r="H23" i="1"/>
  <c r="H25" i="1"/>
  <c r="H21" i="1"/>
  <c r="H20" i="1"/>
  <c r="H18" i="1"/>
  <c r="H15" i="1"/>
  <c r="H14" i="1"/>
  <c r="H12" i="1"/>
  <c r="H11" i="1"/>
  <c r="H10" i="1"/>
  <c r="H9" i="1"/>
  <c r="H8" i="1"/>
</calcChain>
</file>

<file path=xl/sharedStrings.xml><?xml version="1.0" encoding="utf-8"?>
<sst xmlns="http://schemas.openxmlformats.org/spreadsheetml/2006/main" count="146" uniqueCount="127">
  <si>
    <t>TAMARINDI F.C. 2020-2021</t>
  </si>
  <si>
    <t>ROSA</t>
  </si>
  <si>
    <t>Giocatore</t>
  </si>
  <si>
    <t>N. di maglia</t>
  </si>
  <si>
    <t>Totali</t>
  </si>
  <si>
    <t>Campionato</t>
  </si>
  <si>
    <t>Amichevoli</t>
  </si>
  <si>
    <t>Tornei</t>
  </si>
  <si>
    <t>Gol</t>
  </si>
  <si>
    <t>Fatti</t>
  </si>
  <si>
    <t>Soprannomi</t>
  </si>
  <si>
    <t>Ruoli</t>
  </si>
  <si>
    <t>BirthDay</t>
  </si>
  <si>
    <t>Marco Gioffredi</t>
  </si>
  <si>
    <t>Matteo Torretta</t>
  </si>
  <si>
    <t>Fabio Iannuccelli</t>
  </si>
  <si>
    <t>Davide Scocco</t>
  </si>
  <si>
    <t>Matteo Cutroni</t>
  </si>
  <si>
    <t>Giuseppe D'Amato</t>
  </si>
  <si>
    <t>Carlini Jacopo</t>
  </si>
  <si>
    <t>Luca Coddetta</t>
  </si>
  <si>
    <t>Edoardo Monetti</t>
  </si>
  <si>
    <t>Federico Acconcia</t>
  </si>
  <si>
    <t>Matteo Giunta</t>
  </si>
  <si>
    <t>Joey Giammari</t>
  </si>
  <si>
    <t>Giorgio Caron</t>
  </si>
  <si>
    <t>Alessandro Pietravalle</t>
  </si>
  <si>
    <t>Michele Botta</t>
  </si>
  <si>
    <t>Gabriele Battisti</t>
  </si>
  <si>
    <t>POR</t>
  </si>
  <si>
    <t>TD/ADA</t>
  </si>
  <si>
    <t>DC</t>
  </si>
  <si>
    <t>DC/TS</t>
  </si>
  <si>
    <t>DC/TD</t>
  </si>
  <si>
    <t>ED</t>
  </si>
  <si>
    <t>CC/COC</t>
  </si>
  <si>
    <t>CC/ED/ES</t>
  </si>
  <si>
    <t>CC/COC/ES/ED</t>
  </si>
  <si>
    <t>TS/ASA</t>
  </si>
  <si>
    <t>AD/AS/COC</t>
  </si>
  <si>
    <t>ATT/AS/AD</t>
  </si>
  <si>
    <t>AT/ATT</t>
  </si>
  <si>
    <t>AS/COC/AD/AT</t>
  </si>
  <si>
    <t>AS/ATT/AD</t>
  </si>
  <si>
    <t>Alessio Ivanov</t>
  </si>
  <si>
    <t>Davide Codispoti</t>
  </si>
  <si>
    <t>Dario Innocenzi</t>
  </si>
  <si>
    <t>Gol per la Tamarindi F.C.</t>
  </si>
  <si>
    <t>Francesco Colella</t>
  </si>
  <si>
    <t>DC/CDC</t>
  </si>
  <si>
    <t>Pendolino GPL</t>
  </si>
  <si>
    <t>L'impeto vincente</t>
  </si>
  <si>
    <t>Pantorilla de Kripton</t>
  </si>
  <si>
    <t>Muraglia Apula</t>
  </si>
  <si>
    <t>Nathan Swift</t>
  </si>
  <si>
    <t>Segreteria telefonica</t>
  </si>
  <si>
    <t>Skywalker, la nuova speranza</t>
  </si>
  <si>
    <t>Apprendista scugnizz</t>
  </si>
  <si>
    <t>La mezzaquila di Graz</t>
  </si>
  <si>
    <t>M'illumino d'immenso</t>
  </si>
  <si>
    <t>L'olandese volante</t>
  </si>
  <si>
    <t>Il traghettatore di anime</t>
  </si>
  <si>
    <t>Odino veste nike</t>
  </si>
  <si>
    <t>Mahatma magnetico</t>
  </si>
  <si>
    <t>Holly, l'uomo della trequarti</t>
  </si>
  <si>
    <t>Mano del colosso (di Rodi)</t>
  </si>
  <si>
    <t>CDC/CC</t>
  </si>
  <si>
    <t>COC/AD/CC</t>
  </si>
  <si>
    <t xml:space="preserve">             Cartellini</t>
  </si>
  <si>
    <t xml:space="preserve">      Gialli</t>
  </si>
  <si>
    <t xml:space="preserve">      Rossi</t>
  </si>
  <si>
    <t xml:space="preserve">     Assist</t>
  </si>
  <si>
    <t>CDC/COC/DC/ATT</t>
  </si>
  <si>
    <t>PRECAMPIONATO</t>
  </si>
  <si>
    <t>Presenze</t>
  </si>
  <si>
    <t>24/09</t>
  </si>
  <si>
    <t>Sporting Roma</t>
  </si>
  <si>
    <t>7-1</t>
  </si>
  <si>
    <t>Tamarindi F.C.</t>
  </si>
  <si>
    <t>Pietravalle</t>
  </si>
  <si>
    <t>Precedenti</t>
  </si>
  <si>
    <t>Rocchi Federico</t>
  </si>
  <si>
    <t>CDC/TD/DC/CC</t>
  </si>
  <si>
    <t>01/10</t>
  </si>
  <si>
    <t>Codispoti</t>
  </si>
  <si>
    <t>4-1</t>
  </si>
  <si>
    <t>Alessio Torretta</t>
  </si>
  <si>
    <t>AD/AS/ATT</t>
  </si>
  <si>
    <t>Straniero Emanuele</t>
  </si>
  <si>
    <t>Iurato Carlo</t>
  </si>
  <si>
    <t>TS</t>
  </si>
  <si>
    <t>TROFEO ANGELO SAUTARIELLO</t>
  </si>
  <si>
    <t>Davide Serra</t>
  </si>
  <si>
    <t>CDC/CC/COC</t>
  </si>
  <si>
    <t>20/05</t>
  </si>
  <si>
    <t xml:space="preserve">     3-8</t>
  </si>
  <si>
    <t>Real Miami</t>
  </si>
  <si>
    <t>Venneri</t>
  </si>
  <si>
    <t>Serra (2)</t>
  </si>
  <si>
    <t>27/05</t>
  </si>
  <si>
    <t>Francesco Venneri</t>
  </si>
  <si>
    <t>ATT</t>
  </si>
  <si>
    <t>TD/ADA/POR</t>
  </si>
  <si>
    <t xml:space="preserve">Tamarindi F.C. </t>
  </si>
  <si>
    <t xml:space="preserve">     1-6</t>
  </si>
  <si>
    <t>Onda Blu</t>
  </si>
  <si>
    <t>Gioffredi</t>
  </si>
  <si>
    <t>03/06</t>
  </si>
  <si>
    <t xml:space="preserve">     2-6</t>
  </si>
  <si>
    <t>Nova Virtus</t>
  </si>
  <si>
    <t>Battisti</t>
  </si>
  <si>
    <t>10/06</t>
  </si>
  <si>
    <t xml:space="preserve">     5-4</t>
  </si>
  <si>
    <t>Gioffredi (2)</t>
  </si>
  <si>
    <t>Pietravalle (2)</t>
  </si>
  <si>
    <t>Caron</t>
  </si>
  <si>
    <t>14/06</t>
  </si>
  <si>
    <t>Real San Paolo</t>
  </si>
  <si>
    <t xml:space="preserve">     2-5</t>
  </si>
  <si>
    <t>Gladiators</t>
  </si>
  <si>
    <t xml:space="preserve">     3-2</t>
  </si>
  <si>
    <t>21/06</t>
  </si>
  <si>
    <t>28/06</t>
  </si>
  <si>
    <t>Real Sporting</t>
  </si>
  <si>
    <t xml:space="preserve">    11-0</t>
  </si>
  <si>
    <t>Davide Guarino</t>
  </si>
  <si>
    <t>Coddetta [P]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</si>
</sst>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2"/>
      <color theme="1"/>
      <name val="Bahnschrift"/>
      <family val="2"/>
    </font>
    <font>
      <sz val="11"/>
      <color theme="1"/>
      <name val="Bahnschrift Condensed"/>
      <family val="2"/>
    </font>
    <font>
      <sz val="11"/>
      <name val="Bahnschrift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/>
    <xf numFmtId="14" fontId="1" fillId="2" borderId="0" xfId="0" applyNumberFormat="1" applyFont="1" applyFill="1"/>
    <xf numFmtId="0" fontId="4" fillId="0" borderId="0" xfId="0" applyFont="1"/>
    <xf numFmtId="49" fontId="1" fillId="2" borderId="0" xfId="0" applyNumberFormat="1" applyFont="1" applyFill="1"/>
    <xf numFmtId="0" fontId="4" fillId="3" borderId="0" xfId="0" applyFont="1" applyFill="1"/>
    <xf numFmtId="0" fontId="5" fillId="3" borderId="0" xfId="0" applyFont="1" applyFill="1"/>
    <xf numFmtId="1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37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A0E6AD0-F03D-024F-B6B0-768153E5143B}" diskRevisions="1" revisionId="351" version="37">
  <header guid="{BA0E6AD0-F03D-024F-B6B0-768153E5143B}" dateTime="2025-11-18T23:59:00" maxSheetId="4" userName="Matteo Cutroni" r:id="rId37" minRId="349" maxRId="351">
    <sheetIdMap count="3">
      <sheetId val="1"/>
      <sheetId val="2"/>
      <sheetId val="3"/>
    </sheetIdMap>
  </header>
</header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" sId="1">
    <oc r="C57" t="inlineStr">
      <is>
        <t>Coddetta [R]</t>
      </is>
    </oc>
    <nc r="C57" t="inlineStr">
      <is>
        <t>Coddetta [P]</t>
      </is>
    </nc>
  </rcc>
  <rcc rId="350" sId="1">
    <oc r="C66" t="inlineStr">
      <is>
        <t>Coddetta [R]</t>
      </is>
    </oc>
    <nc r="C66" t="inlineStr">
      <is>
        <t>Coddetta [P]</t>
      </is>
    </nc>
  </rcc>
  <rcc rId="351" sId="1">
    <oc r="F70" t="inlineStr">
      <is>
        <t>Coddetta [R]</t>
      </is>
    </oc>
    <nc r="F70" t="inlineStr">
      <is>
        <t>Coddetta [P]</t>
      </is>
    </nc>
  </rcc>
  <rcv guid="{BDA24EDC-855E-3043-8B0E-6E43ED6DDC1A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65"/>
  <sheetViews>
    <sheetView tabSelected="1" topLeftCell="A32" zoomScaleNormal="100" workbookViewId="0">
      <selection activeCell="F70" sqref="F70"/>
    </sheetView>
  </sheetViews>
  <sheetFormatPr baseColWidth="10" defaultColWidth="8.83203125" defaultRowHeight="15" x14ac:dyDescent="0.2"/>
  <cols>
    <col min="1" max="1" width="8.83203125" customWidth="1"/>
    <col min="26" max="26" width="11.1640625" bestFit="1" customWidth="1"/>
  </cols>
  <sheetData>
    <row r="1" spans="1:78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s="3" customFormat="1" ht="14" x14ac:dyDescent="0.2">
      <c r="A5" s="3" t="s">
        <v>2</v>
      </c>
      <c r="D5" s="3" t="s">
        <v>3</v>
      </c>
      <c r="F5" s="5"/>
      <c r="G5" s="4" t="s">
        <v>74</v>
      </c>
      <c r="H5" s="5"/>
      <c r="K5" s="4" t="s">
        <v>8</v>
      </c>
      <c r="L5" s="4" t="s">
        <v>9</v>
      </c>
      <c r="O5" s="3" t="s">
        <v>71</v>
      </c>
      <c r="Q5" s="3" t="s">
        <v>68</v>
      </c>
      <c r="T5" s="3" t="s">
        <v>11</v>
      </c>
      <c r="V5" s="3" t="s">
        <v>10</v>
      </c>
      <c r="Z5" s="3" t="s">
        <v>12</v>
      </c>
      <c r="AB5" s="3" t="s">
        <v>47</v>
      </c>
    </row>
    <row r="6" spans="1:78" s="3" customFormat="1" ht="14" x14ac:dyDescent="0.2">
      <c r="F6" s="4" t="s">
        <v>6</v>
      </c>
      <c r="G6" s="3" t="s">
        <v>5</v>
      </c>
      <c r="H6" s="4" t="s">
        <v>4</v>
      </c>
      <c r="J6" s="4" t="s">
        <v>6</v>
      </c>
      <c r="K6" s="4" t="s">
        <v>7</v>
      </c>
      <c r="L6" s="4" t="s">
        <v>5</v>
      </c>
      <c r="M6" s="4" t="s">
        <v>4</v>
      </c>
      <c r="N6" s="4"/>
      <c r="O6" s="4"/>
      <c r="Q6" s="3" t="s">
        <v>69</v>
      </c>
      <c r="R6" s="3" t="s">
        <v>70</v>
      </c>
      <c r="AB6" s="4" t="s">
        <v>80</v>
      </c>
      <c r="AC6" s="4" t="s">
        <v>4</v>
      </c>
    </row>
    <row r="7" spans="1:78" x14ac:dyDescent="0.2">
      <c r="A7" s="1"/>
      <c r="B7" s="1"/>
      <c r="C7" s="1"/>
      <c r="D7" s="1"/>
      <c r="E7" s="1"/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s="12" customFormat="1" x14ac:dyDescent="0.2">
      <c r="A8" s="11" t="s">
        <v>14</v>
      </c>
      <c r="B8" s="11"/>
      <c r="C8" s="11"/>
      <c r="D8" s="11">
        <v>1</v>
      </c>
      <c r="E8" s="11"/>
      <c r="F8" s="11">
        <v>2</v>
      </c>
      <c r="G8" s="11"/>
      <c r="H8" s="11">
        <f t="shared" ref="H8:H34" si="0">SUM(F8:G8)</f>
        <v>2</v>
      </c>
      <c r="I8" s="11"/>
      <c r="J8" s="11"/>
      <c r="K8" s="11"/>
      <c r="L8" s="11"/>
      <c r="M8" s="11">
        <f t="shared" ref="M8:M33" si="1">SUM(J8:L8)</f>
        <v>0</v>
      </c>
      <c r="N8" s="11"/>
      <c r="O8" s="11"/>
      <c r="P8" s="11"/>
      <c r="Q8" s="11"/>
      <c r="R8" s="11"/>
      <c r="S8" s="11"/>
      <c r="T8" s="11" t="s">
        <v>29</v>
      </c>
      <c r="U8" s="11"/>
      <c r="V8" s="11" t="s">
        <v>65</v>
      </c>
      <c r="W8" s="11"/>
      <c r="Z8" s="13">
        <v>36604</v>
      </c>
      <c r="AA8" s="11"/>
      <c r="AB8" s="11"/>
      <c r="AC8" s="11">
        <f t="shared" ref="AC8:AC34" si="2">SUM(AB8,M8)</f>
        <v>0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</row>
    <row r="9" spans="1:78" s="12" customFormat="1" x14ac:dyDescent="0.2">
      <c r="A9" s="11" t="s">
        <v>15</v>
      </c>
      <c r="B9" s="11"/>
      <c r="C9" s="11"/>
      <c r="D9" s="11">
        <v>16</v>
      </c>
      <c r="E9" s="11"/>
      <c r="F9" s="11">
        <v>1</v>
      </c>
      <c r="G9" s="11"/>
      <c r="H9" s="11">
        <f t="shared" si="0"/>
        <v>1</v>
      </c>
      <c r="I9" s="11"/>
      <c r="J9" s="11"/>
      <c r="K9" s="11"/>
      <c r="L9" s="11"/>
      <c r="M9" s="11">
        <f t="shared" si="1"/>
        <v>0</v>
      </c>
      <c r="N9" s="11"/>
      <c r="O9" s="11"/>
      <c r="P9" s="11"/>
      <c r="Q9" s="11"/>
      <c r="R9" s="11"/>
      <c r="S9" s="11"/>
      <c r="T9" s="11" t="s">
        <v>30</v>
      </c>
      <c r="U9" s="11"/>
      <c r="V9" s="11" t="s">
        <v>50</v>
      </c>
      <c r="W9" s="11"/>
      <c r="Z9" s="13">
        <v>36561</v>
      </c>
      <c r="AA9" s="11"/>
      <c r="AB9" s="11">
        <v>1</v>
      </c>
      <c r="AC9" s="11">
        <f t="shared" si="2"/>
        <v>1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</row>
    <row r="10" spans="1:78" x14ac:dyDescent="0.2">
      <c r="A10" s="1" t="s">
        <v>16</v>
      </c>
      <c r="B10" s="1"/>
      <c r="C10" s="1"/>
      <c r="D10" s="1">
        <v>33</v>
      </c>
      <c r="E10" s="1"/>
      <c r="F10" s="1">
        <v>2</v>
      </c>
      <c r="G10" s="1">
        <v>2</v>
      </c>
      <c r="H10" s="1">
        <f t="shared" si="0"/>
        <v>4</v>
      </c>
      <c r="I10" s="1"/>
      <c r="J10" s="1"/>
      <c r="K10" s="1"/>
      <c r="L10" s="1"/>
      <c r="M10" s="1">
        <f t="shared" si="1"/>
        <v>0</v>
      </c>
      <c r="N10" s="1"/>
      <c r="O10" s="1"/>
      <c r="P10" s="1"/>
      <c r="Q10" s="1"/>
      <c r="R10" s="1"/>
      <c r="S10" s="1"/>
      <c r="T10" s="1" t="s">
        <v>102</v>
      </c>
      <c r="U10" s="1"/>
      <c r="V10" s="1" t="s">
        <v>51</v>
      </c>
      <c r="W10" s="1"/>
      <c r="Z10" s="6">
        <v>36622</v>
      </c>
      <c r="AA10" s="1"/>
      <c r="AB10" s="1">
        <v>1</v>
      </c>
      <c r="AC10" s="1">
        <f t="shared" si="2"/>
        <v>1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x14ac:dyDescent="0.2">
      <c r="A11" s="1" t="s">
        <v>17</v>
      </c>
      <c r="B11" s="1"/>
      <c r="C11" s="1"/>
      <c r="D11" s="1">
        <v>5</v>
      </c>
      <c r="E11" s="1"/>
      <c r="F11" s="1">
        <v>1</v>
      </c>
      <c r="G11" s="1">
        <v>6</v>
      </c>
      <c r="H11" s="1">
        <f t="shared" si="0"/>
        <v>7</v>
      </c>
      <c r="I11" s="1"/>
      <c r="J11" s="1"/>
      <c r="K11" s="1"/>
      <c r="L11" s="1"/>
      <c r="M11" s="1">
        <f t="shared" si="1"/>
        <v>0</v>
      </c>
      <c r="N11" s="1"/>
      <c r="O11" s="1"/>
      <c r="P11" s="1"/>
      <c r="Q11" s="1"/>
      <c r="R11" s="1"/>
      <c r="S11" s="1"/>
      <c r="T11" s="1" t="s">
        <v>31</v>
      </c>
      <c r="U11" s="1"/>
      <c r="V11" s="1" t="s">
        <v>52</v>
      </c>
      <c r="W11" s="1"/>
      <c r="Z11" s="6">
        <v>36665</v>
      </c>
      <c r="AA11" s="1"/>
      <c r="AB11" s="1"/>
      <c r="AC11" s="1">
        <f t="shared" si="2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x14ac:dyDescent="0.2">
      <c r="A12" s="1" t="s">
        <v>45</v>
      </c>
      <c r="B12" s="1"/>
      <c r="C12" s="1"/>
      <c r="D12" s="1">
        <v>25</v>
      </c>
      <c r="E12" s="1"/>
      <c r="F12" s="1">
        <v>2</v>
      </c>
      <c r="G12" s="1">
        <v>6</v>
      </c>
      <c r="H12" s="1">
        <f t="shared" si="0"/>
        <v>8</v>
      </c>
      <c r="I12" s="1"/>
      <c r="J12" s="1">
        <v>1</v>
      </c>
      <c r="K12" s="1"/>
      <c r="L12" s="1"/>
      <c r="M12" s="1">
        <f t="shared" si="1"/>
        <v>1</v>
      </c>
      <c r="N12" s="1"/>
      <c r="O12" s="1"/>
      <c r="P12" s="1"/>
      <c r="Q12" s="1"/>
      <c r="R12" s="1"/>
      <c r="S12" s="1"/>
      <c r="T12" s="1" t="s">
        <v>49</v>
      </c>
      <c r="U12" s="1"/>
      <c r="V12" s="1"/>
      <c r="W12" s="1"/>
      <c r="Z12" s="6">
        <v>36790</v>
      </c>
      <c r="AA12" s="1"/>
      <c r="AB12" s="1"/>
      <c r="AC12" s="1">
        <f t="shared" si="2"/>
        <v>1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s="12" customFormat="1" x14ac:dyDescent="0.2">
      <c r="A13" s="11" t="s">
        <v>88</v>
      </c>
      <c r="B13" s="11"/>
      <c r="C13" s="11"/>
      <c r="D13" s="15"/>
      <c r="E13" s="11"/>
      <c r="F13" s="11">
        <v>1</v>
      </c>
      <c r="G13" s="11"/>
      <c r="H13" s="11">
        <f t="shared" si="0"/>
        <v>1</v>
      </c>
      <c r="I13" s="11"/>
      <c r="J13" s="11"/>
      <c r="K13" s="11"/>
      <c r="L13" s="11"/>
      <c r="M13" s="11">
        <f>SUM(J13:L13)</f>
        <v>0</v>
      </c>
      <c r="N13" s="11"/>
      <c r="O13" s="11"/>
      <c r="P13" s="11"/>
      <c r="Q13" s="11"/>
      <c r="R13" s="11"/>
      <c r="S13" s="11"/>
      <c r="T13" s="11" t="s">
        <v>49</v>
      </c>
      <c r="U13" s="11"/>
      <c r="V13" s="11"/>
      <c r="W13" s="11"/>
      <c r="Z13" s="13"/>
      <c r="AA13" s="11"/>
      <c r="AB13" s="11"/>
      <c r="AC13" s="11">
        <f>SUM(M13,AB13)</f>
        <v>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</row>
    <row r="14" spans="1:78" s="12" customFormat="1" x14ac:dyDescent="0.2">
      <c r="A14" s="11" t="s">
        <v>18</v>
      </c>
      <c r="B14" s="11"/>
      <c r="C14" s="11"/>
      <c r="D14" s="11">
        <v>3</v>
      </c>
      <c r="E14" s="11"/>
      <c r="F14" s="11"/>
      <c r="G14" s="11"/>
      <c r="H14" s="11">
        <f t="shared" si="0"/>
        <v>0</v>
      </c>
      <c r="I14" s="11"/>
      <c r="J14" s="11"/>
      <c r="K14" s="11"/>
      <c r="L14" s="11"/>
      <c r="M14" s="11">
        <f t="shared" si="1"/>
        <v>0</v>
      </c>
      <c r="N14" s="11"/>
      <c r="O14" s="11"/>
      <c r="P14" s="11"/>
      <c r="Q14" s="11"/>
      <c r="R14" s="11"/>
      <c r="S14" s="11"/>
      <c r="T14" s="11" t="s">
        <v>31</v>
      </c>
      <c r="U14" s="11"/>
      <c r="V14" s="11" t="s">
        <v>53</v>
      </c>
      <c r="W14" s="11"/>
      <c r="Z14" s="13">
        <v>36839</v>
      </c>
      <c r="AA14" s="11"/>
      <c r="AB14" s="11"/>
      <c r="AC14" s="11">
        <f t="shared" si="2"/>
        <v>0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</row>
    <row r="15" spans="1:78" s="12" customFormat="1" x14ac:dyDescent="0.2">
      <c r="A15" s="11" t="s">
        <v>22</v>
      </c>
      <c r="B15" s="11"/>
      <c r="C15" s="11"/>
      <c r="D15" s="11">
        <v>4</v>
      </c>
      <c r="E15" s="11"/>
      <c r="F15" s="11"/>
      <c r="G15" s="11"/>
      <c r="H15" s="11">
        <f>SUM(F15:G15)</f>
        <v>0</v>
      </c>
      <c r="I15" s="11"/>
      <c r="J15" s="11"/>
      <c r="K15" s="11"/>
      <c r="L15" s="11"/>
      <c r="M15" s="11">
        <f>SUM(J15:L15)</f>
        <v>0</v>
      </c>
      <c r="N15" s="11"/>
      <c r="O15" s="11"/>
      <c r="P15" s="11"/>
      <c r="Q15" s="11"/>
      <c r="R15" s="11"/>
      <c r="S15" s="11"/>
      <c r="T15" s="11" t="s">
        <v>33</v>
      </c>
      <c r="U15" s="11"/>
      <c r="V15" s="11" t="s">
        <v>55</v>
      </c>
      <c r="W15" s="11"/>
      <c r="Z15" s="13">
        <v>36827</v>
      </c>
      <c r="AA15" s="11"/>
      <c r="AB15" s="11"/>
      <c r="AC15" s="11">
        <f>SUM(AB15,M15)</f>
        <v>0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</row>
    <row r="16" spans="1:78" s="12" customFormat="1" x14ac:dyDescent="0.2">
      <c r="A16" s="11" t="s">
        <v>19</v>
      </c>
      <c r="B16" s="11"/>
      <c r="C16" s="11"/>
      <c r="D16" s="11">
        <v>45</v>
      </c>
      <c r="E16" s="11"/>
      <c r="F16" s="11">
        <v>1</v>
      </c>
      <c r="G16" s="11"/>
      <c r="H16" s="11">
        <f t="shared" si="0"/>
        <v>1</v>
      </c>
      <c r="I16" s="11"/>
      <c r="J16" s="11"/>
      <c r="K16" s="11"/>
      <c r="L16" s="11"/>
      <c r="M16" s="11">
        <f t="shared" si="1"/>
        <v>0</v>
      </c>
      <c r="N16" s="11"/>
      <c r="O16" s="11"/>
      <c r="P16" s="11"/>
      <c r="Q16" s="11"/>
      <c r="R16" s="11"/>
      <c r="S16" s="11"/>
      <c r="T16" s="11" t="s">
        <v>32</v>
      </c>
      <c r="U16" s="11"/>
      <c r="V16" s="11" t="s">
        <v>54</v>
      </c>
      <c r="W16" s="11"/>
      <c r="Z16" s="13">
        <v>37591</v>
      </c>
      <c r="AA16" s="11"/>
      <c r="AB16" s="11"/>
      <c r="AC16" s="11">
        <f t="shared" si="2"/>
        <v>0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</row>
    <row r="17" spans="1:78" s="12" customFormat="1" x14ac:dyDescent="0.2">
      <c r="A17" s="11" t="s">
        <v>89</v>
      </c>
      <c r="B17" s="11"/>
      <c r="C17" s="11"/>
      <c r="D17" s="11"/>
      <c r="E17" s="11"/>
      <c r="F17" s="11">
        <v>1</v>
      </c>
      <c r="G17" s="11"/>
      <c r="H17" s="11">
        <f>SUM(F17:G17)</f>
        <v>1</v>
      </c>
      <c r="I17" s="11"/>
      <c r="J17" s="11"/>
      <c r="K17" s="11"/>
      <c r="L17" s="11"/>
      <c r="M17" s="11">
        <f>SUM(J17:L17)</f>
        <v>0</v>
      </c>
      <c r="N17" s="11"/>
      <c r="O17" s="11"/>
      <c r="P17" s="11"/>
      <c r="Q17" s="11"/>
      <c r="R17" s="11"/>
      <c r="S17" s="11"/>
      <c r="T17" s="11" t="s">
        <v>90</v>
      </c>
      <c r="U17" s="11"/>
      <c r="V17" s="11"/>
      <c r="W17" s="11"/>
      <c r="Z17" s="13"/>
      <c r="AA17" s="11"/>
      <c r="AB17" s="11"/>
      <c r="AC17" s="11">
        <f t="shared" si="2"/>
        <v>0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</row>
    <row r="18" spans="1:78" x14ac:dyDescent="0.2">
      <c r="A18" s="1" t="s">
        <v>20</v>
      </c>
      <c r="B18" s="1"/>
      <c r="C18" s="1"/>
      <c r="D18" s="1">
        <v>11</v>
      </c>
      <c r="E18" s="1"/>
      <c r="F18" s="1">
        <v>2</v>
      </c>
      <c r="G18" s="1">
        <v>7</v>
      </c>
      <c r="H18" s="1">
        <f t="shared" si="0"/>
        <v>9</v>
      </c>
      <c r="I18" s="1"/>
      <c r="J18" s="1"/>
      <c r="K18" s="1"/>
      <c r="L18" s="1">
        <v>3</v>
      </c>
      <c r="M18" s="1">
        <f t="shared" si="1"/>
        <v>3</v>
      </c>
      <c r="N18" s="1"/>
      <c r="O18" s="1">
        <v>1</v>
      </c>
      <c r="P18" s="1"/>
      <c r="Q18" s="1">
        <v>1</v>
      </c>
      <c r="R18" s="1"/>
      <c r="S18" s="1"/>
      <c r="T18" s="1" t="s">
        <v>38</v>
      </c>
      <c r="U18" s="1"/>
      <c r="V18" s="1" t="s">
        <v>56</v>
      </c>
      <c r="W18" s="1"/>
      <c r="Z18" s="6">
        <v>37227</v>
      </c>
      <c r="AA18" s="1"/>
      <c r="AB18" s="1">
        <v>2</v>
      </c>
      <c r="AC18" s="1">
        <f t="shared" si="2"/>
        <v>5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x14ac:dyDescent="0.2">
      <c r="A19" s="1" t="s">
        <v>81</v>
      </c>
      <c r="B19" s="1"/>
      <c r="C19" s="1"/>
      <c r="D19" s="1">
        <v>6</v>
      </c>
      <c r="E19" s="1"/>
      <c r="F19" s="1">
        <v>1</v>
      </c>
      <c r="G19" s="1">
        <v>7</v>
      </c>
      <c r="H19" s="1">
        <f>SUM(F19:G19)</f>
        <v>8</v>
      </c>
      <c r="I19" s="1"/>
      <c r="J19" s="1"/>
      <c r="K19" s="1"/>
      <c r="L19" s="1"/>
      <c r="M19" s="1">
        <f>SUM(J19:L19)</f>
        <v>0</v>
      </c>
      <c r="N19" s="1"/>
      <c r="O19" s="1"/>
      <c r="P19" s="1"/>
      <c r="Q19" s="1"/>
      <c r="R19" s="1"/>
      <c r="S19" s="1"/>
      <c r="T19" s="1" t="s">
        <v>82</v>
      </c>
      <c r="U19" s="1"/>
      <c r="V19" s="1"/>
      <c r="W19" s="1"/>
      <c r="Z19" s="6">
        <v>36809</v>
      </c>
      <c r="AA19" s="1"/>
      <c r="AB19" s="1"/>
      <c r="AC19" s="1">
        <f>SUM(AB19,M19)</f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s="12" customFormat="1" x14ac:dyDescent="0.2">
      <c r="A20" s="11" t="s">
        <v>21</v>
      </c>
      <c r="B20" s="11"/>
      <c r="C20" s="11"/>
      <c r="D20" s="11">
        <v>14</v>
      </c>
      <c r="E20" s="11"/>
      <c r="F20" s="11">
        <v>1</v>
      </c>
      <c r="G20" s="11"/>
      <c r="H20" s="11">
        <f>SUM(F20:G20)</f>
        <v>1</v>
      </c>
      <c r="I20" s="11"/>
      <c r="J20" s="11"/>
      <c r="K20" s="11"/>
      <c r="L20" s="11"/>
      <c r="M20" s="11">
        <f>SUM(J20:L20)</f>
        <v>0</v>
      </c>
      <c r="N20" s="11"/>
      <c r="O20" s="11"/>
      <c r="P20" s="11"/>
      <c r="Q20" s="11"/>
      <c r="R20" s="11"/>
      <c r="S20" s="11"/>
      <c r="T20" s="11" t="s">
        <v>34</v>
      </c>
      <c r="U20" s="11"/>
      <c r="V20" s="11" t="s">
        <v>57</v>
      </c>
      <c r="W20" s="11"/>
      <c r="Z20" s="13">
        <v>36701</v>
      </c>
      <c r="AA20" s="11"/>
      <c r="AB20" s="11"/>
      <c r="AC20" s="11">
        <f>SUM(AB20,M20)</f>
        <v>0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</row>
    <row r="21" spans="1:78" s="12" customFormat="1" x14ac:dyDescent="0.2">
      <c r="A21" s="11" t="s">
        <v>44</v>
      </c>
      <c r="B21" s="11"/>
      <c r="C21" s="11"/>
      <c r="D21" s="11">
        <v>21</v>
      </c>
      <c r="E21" s="11"/>
      <c r="F21" s="11">
        <v>2</v>
      </c>
      <c r="G21" s="11"/>
      <c r="H21" s="11">
        <f t="shared" si="0"/>
        <v>2</v>
      </c>
      <c r="I21" s="11"/>
      <c r="J21" s="11"/>
      <c r="K21" s="11"/>
      <c r="L21" s="11"/>
      <c r="M21" s="11">
        <f t="shared" si="1"/>
        <v>0</v>
      </c>
      <c r="N21" s="11"/>
      <c r="O21" s="11"/>
      <c r="P21" s="11"/>
      <c r="Q21" s="11"/>
      <c r="R21" s="11"/>
      <c r="S21" s="11"/>
      <c r="T21" s="11" t="s">
        <v>66</v>
      </c>
      <c r="U21" s="11"/>
      <c r="V21" s="11"/>
      <c r="W21" s="11"/>
      <c r="Z21" s="13">
        <v>36629</v>
      </c>
      <c r="AA21" s="11"/>
      <c r="AB21" s="11"/>
      <c r="AC21" s="11">
        <f t="shared" si="2"/>
        <v>0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</row>
    <row r="22" spans="1:78" x14ac:dyDescent="0.2">
      <c r="A22" s="1" t="s">
        <v>92</v>
      </c>
      <c r="B22" s="1"/>
      <c r="C22" s="1"/>
      <c r="D22" s="1"/>
      <c r="E22" s="1"/>
      <c r="F22" s="1"/>
      <c r="G22" s="1">
        <v>6</v>
      </c>
      <c r="H22" s="1">
        <f>SUM(F22,G22)</f>
        <v>6</v>
      </c>
      <c r="I22" s="1"/>
      <c r="J22" s="1"/>
      <c r="K22" s="1"/>
      <c r="L22" s="1">
        <v>2</v>
      </c>
      <c r="M22" s="1">
        <f>SUM(J22,K22,L22)</f>
        <v>2</v>
      </c>
      <c r="N22" s="1"/>
      <c r="O22" s="1"/>
      <c r="P22" s="1"/>
      <c r="Q22" s="1"/>
      <c r="R22" s="1"/>
      <c r="S22" s="1"/>
      <c r="T22" s="1" t="s">
        <v>93</v>
      </c>
      <c r="U22" s="1"/>
      <c r="V22" s="1"/>
      <c r="W22" s="1"/>
      <c r="Z22" s="6">
        <v>37705</v>
      </c>
      <c r="AA22" s="1"/>
      <c r="AB22" s="1"/>
      <c r="AC22" s="1">
        <f>SUM(AB22,M22)</f>
        <v>2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x14ac:dyDescent="0.2">
      <c r="A23" s="1" t="s">
        <v>13</v>
      </c>
      <c r="B23" s="1"/>
      <c r="C23" s="1"/>
      <c r="D23" s="1">
        <v>8</v>
      </c>
      <c r="E23" s="1"/>
      <c r="F23" s="1">
        <v>2</v>
      </c>
      <c r="G23" s="1">
        <v>7</v>
      </c>
      <c r="H23" s="1">
        <f>SUM(F23:G23)</f>
        <v>9</v>
      </c>
      <c r="I23" s="1"/>
      <c r="J23" s="1"/>
      <c r="K23" s="1"/>
      <c r="L23" s="1">
        <v>4</v>
      </c>
      <c r="M23" s="1">
        <f>SUM(J23:L23)</f>
        <v>4</v>
      </c>
      <c r="N23" s="1"/>
      <c r="O23" s="1">
        <v>1</v>
      </c>
      <c r="P23" s="1"/>
      <c r="Q23" s="1"/>
      <c r="R23" s="1"/>
      <c r="S23" s="1"/>
      <c r="T23" s="1" t="s">
        <v>37</v>
      </c>
      <c r="U23" s="1"/>
      <c r="V23" s="1" t="s">
        <v>58</v>
      </c>
      <c r="W23" s="1"/>
      <c r="Z23" s="6">
        <v>36730</v>
      </c>
      <c r="AA23" s="1"/>
      <c r="AB23" s="1">
        <v>5</v>
      </c>
      <c r="AC23" s="1">
        <f>SUM(AB23,M23)</f>
        <v>9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x14ac:dyDescent="0.2">
      <c r="A24" s="14" t="s">
        <v>24</v>
      </c>
      <c r="B24" s="1"/>
      <c r="C24" s="1"/>
      <c r="D24" s="1">
        <v>30</v>
      </c>
      <c r="E24" s="1"/>
      <c r="F24" s="1"/>
      <c r="G24" s="1">
        <v>2</v>
      </c>
      <c r="H24" s="1">
        <f>SUM(F24:G24)</f>
        <v>2</v>
      </c>
      <c r="I24" s="1"/>
      <c r="J24" s="1"/>
      <c r="K24" s="1"/>
      <c r="L24" s="1"/>
      <c r="M24" s="1">
        <f>SUM(J24:L24)</f>
        <v>0</v>
      </c>
      <c r="N24" s="1"/>
      <c r="O24" s="1"/>
      <c r="P24" s="1"/>
      <c r="Q24" s="1"/>
      <c r="R24" s="1"/>
      <c r="S24" s="1"/>
      <c r="T24" s="1" t="s">
        <v>36</v>
      </c>
      <c r="U24" s="1"/>
      <c r="V24" s="1" t="s">
        <v>60</v>
      </c>
      <c r="W24" s="1"/>
      <c r="Z24" s="6">
        <v>37176</v>
      </c>
      <c r="AA24" s="1"/>
      <c r="AB24" s="1"/>
      <c r="AC24" s="1">
        <f>SUM(AB24,M24)</f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s="12" customFormat="1" x14ac:dyDescent="0.2">
      <c r="A25" s="11" t="s">
        <v>125</v>
      </c>
      <c r="B25" s="11"/>
      <c r="C25" s="11"/>
      <c r="D25" s="11"/>
      <c r="E25" s="11"/>
      <c r="F25" s="11">
        <v>1</v>
      </c>
      <c r="G25" s="11"/>
      <c r="H25" s="11">
        <f t="shared" si="0"/>
        <v>1</v>
      </c>
      <c r="I25" s="11"/>
      <c r="J25" s="11"/>
      <c r="K25" s="11"/>
      <c r="L25" s="11"/>
      <c r="M25" s="11">
        <f t="shared" si="1"/>
        <v>0</v>
      </c>
      <c r="N25" s="11"/>
      <c r="O25" s="11"/>
      <c r="P25" s="11"/>
      <c r="Q25" s="11"/>
      <c r="R25" s="11"/>
      <c r="S25" s="11"/>
      <c r="T25" s="11" t="s">
        <v>72</v>
      </c>
      <c r="U25" s="11"/>
      <c r="V25" s="11"/>
      <c r="W25" s="11"/>
      <c r="Z25" s="13">
        <v>36427</v>
      </c>
      <c r="AA25" s="11"/>
      <c r="AB25" s="11"/>
      <c r="AC25" s="11">
        <f t="shared" si="2"/>
        <v>0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</row>
    <row r="26" spans="1:78" s="12" customFormat="1" x14ac:dyDescent="0.2">
      <c r="A26" s="11" t="s">
        <v>23</v>
      </c>
      <c r="B26" s="11"/>
      <c r="C26" s="11"/>
      <c r="D26" s="11">
        <v>17</v>
      </c>
      <c r="E26" s="11"/>
      <c r="F26" s="11">
        <v>1</v>
      </c>
      <c r="G26" s="11"/>
      <c r="H26" s="11">
        <f t="shared" si="0"/>
        <v>1</v>
      </c>
      <c r="I26" s="11"/>
      <c r="J26" s="11"/>
      <c r="K26" s="11"/>
      <c r="L26" s="11"/>
      <c r="M26" s="11">
        <f t="shared" si="1"/>
        <v>0</v>
      </c>
      <c r="N26" s="11"/>
      <c r="O26" s="11"/>
      <c r="P26" s="11"/>
      <c r="Q26" s="11"/>
      <c r="R26" s="11"/>
      <c r="S26" s="11"/>
      <c r="T26" s="11" t="s">
        <v>35</v>
      </c>
      <c r="U26" s="11"/>
      <c r="V26" s="11" t="s">
        <v>59</v>
      </c>
      <c r="W26" s="11"/>
      <c r="Z26" s="13">
        <v>35697</v>
      </c>
      <c r="AA26" s="11"/>
      <c r="AB26" s="11"/>
      <c r="AC26" s="11">
        <f t="shared" si="2"/>
        <v>0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</row>
    <row r="27" spans="1:78" x14ac:dyDescent="0.2">
      <c r="A27" s="1" t="s">
        <v>46</v>
      </c>
      <c r="B27" s="1"/>
      <c r="C27" s="1"/>
      <c r="D27" s="1">
        <v>20</v>
      </c>
      <c r="E27" s="1"/>
      <c r="F27" s="1">
        <v>2</v>
      </c>
      <c r="G27" s="1">
        <v>5</v>
      </c>
      <c r="H27" s="1">
        <f t="shared" si="0"/>
        <v>7</v>
      </c>
      <c r="I27" s="1"/>
      <c r="J27" s="1"/>
      <c r="K27" s="1"/>
      <c r="L27" s="1"/>
      <c r="M27" s="1">
        <f t="shared" si="1"/>
        <v>0</v>
      </c>
      <c r="N27" s="1"/>
      <c r="O27" s="1">
        <v>1</v>
      </c>
      <c r="P27" s="1"/>
      <c r="Q27" s="1"/>
      <c r="R27" s="1"/>
      <c r="S27" s="1"/>
      <c r="T27" s="1" t="s">
        <v>67</v>
      </c>
      <c r="U27" s="1"/>
      <c r="V27" s="1"/>
      <c r="W27" s="1"/>
      <c r="Z27" s="6">
        <v>36775</v>
      </c>
      <c r="AA27" s="1"/>
      <c r="AB27" s="1"/>
      <c r="AC27" s="1">
        <f t="shared" si="2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x14ac:dyDescent="0.2">
      <c r="A28" s="1" t="s">
        <v>25</v>
      </c>
      <c r="B28" s="1"/>
      <c r="C28" s="1"/>
      <c r="D28" s="1">
        <v>22</v>
      </c>
      <c r="E28" s="1"/>
      <c r="F28" s="1">
        <v>2</v>
      </c>
      <c r="G28" s="1">
        <v>6</v>
      </c>
      <c r="H28" s="1">
        <f t="shared" si="0"/>
        <v>8</v>
      </c>
      <c r="I28" s="1"/>
      <c r="J28" s="1"/>
      <c r="K28" s="1"/>
      <c r="L28" s="1">
        <v>1</v>
      </c>
      <c r="M28" s="1">
        <f t="shared" si="1"/>
        <v>1</v>
      </c>
      <c r="N28" s="1"/>
      <c r="O28" s="1">
        <v>1</v>
      </c>
      <c r="P28" s="1"/>
      <c r="Q28" s="1"/>
      <c r="R28" s="1"/>
      <c r="S28" s="1"/>
      <c r="T28" s="1" t="s">
        <v>39</v>
      </c>
      <c r="U28" s="1"/>
      <c r="V28" s="1" t="s">
        <v>61</v>
      </c>
      <c r="W28" s="1"/>
      <c r="Z28" s="6">
        <v>37388</v>
      </c>
      <c r="AA28" s="1"/>
      <c r="AB28" s="1">
        <v>3</v>
      </c>
      <c r="AC28" s="1">
        <f t="shared" si="2"/>
        <v>4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x14ac:dyDescent="0.2">
      <c r="A29" s="1" t="s">
        <v>26</v>
      </c>
      <c r="B29" s="1"/>
      <c r="C29" s="1"/>
      <c r="D29" s="1">
        <v>44</v>
      </c>
      <c r="E29" s="1"/>
      <c r="F29" s="1">
        <v>1</v>
      </c>
      <c r="G29" s="1">
        <v>6</v>
      </c>
      <c r="H29" s="1">
        <f t="shared" si="0"/>
        <v>7</v>
      </c>
      <c r="I29" s="1"/>
      <c r="J29" s="1">
        <v>1</v>
      </c>
      <c r="K29" s="1"/>
      <c r="L29" s="1">
        <v>3</v>
      </c>
      <c r="M29" s="1">
        <f t="shared" si="1"/>
        <v>4</v>
      </c>
      <c r="N29" s="1"/>
      <c r="O29" s="1">
        <v>1</v>
      </c>
      <c r="P29" s="1"/>
      <c r="Q29" s="1"/>
      <c r="R29" s="1"/>
      <c r="S29" s="1"/>
      <c r="T29" s="1" t="s">
        <v>40</v>
      </c>
      <c r="U29" s="1"/>
      <c r="V29" s="1" t="s">
        <v>62</v>
      </c>
      <c r="W29" s="1"/>
      <c r="Z29" s="6">
        <v>35871</v>
      </c>
      <c r="AA29" s="1"/>
      <c r="AB29" s="1">
        <v>8</v>
      </c>
      <c r="AC29" s="1">
        <f t="shared" si="2"/>
        <v>12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x14ac:dyDescent="0.2">
      <c r="A30" s="1" t="s">
        <v>100</v>
      </c>
      <c r="B30" s="1"/>
      <c r="C30" s="1"/>
      <c r="D30" s="1">
        <v>7</v>
      </c>
      <c r="E30" s="1"/>
      <c r="F30" s="1"/>
      <c r="G30" s="1">
        <v>4</v>
      </c>
      <c r="H30" s="1">
        <f>SUM(F30,G30)</f>
        <v>4</v>
      </c>
      <c r="I30" s="1"/>
      <c r="J30" s="1"/>
      <c r="K30" s="1"/>
      <c r="L30" s="1">
        <v>1</v>
      </c>
      <c r="M30" s="1">
        <f>SUM(J30,K30,L30)</f>
        <v>1</v>
      </c>
      <c r="N30" s="1"/>
      <c r="O30" s="1">
        <v>1</v>
      </c>
      <c r="P30" s="1"/>
      <c r="Q30" s="1"/>
      <c r="R30" s="1"/>
      <c r="S30" s="1"/>
      <c r="T30" s="1" t="s">
        <v>101</v>
      </c>
      <c r="U30" s="1"/>
      <c r="V30" s="1"/>
      <c r="W30" s="1"/>
      <c r="Z30" s="6">
        <v>36431</v>
      </c>
      <c r="AA30" s="1"/>
      <c r="AB30" s="1"/>
      <c r="AC30" s="1">
        <f>SUM(AB30,M30)</f>
        <v>1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x14ac:dyDescent="0.2">
      <c r="A31" s="1" t="s">
        <v>28</v>
      </c>
      <c r="B31" s="1"/>
      <c r="C31" s="1"/>
      <c r="D31" s="1">
        <v>9</v>
      </c>
      <c r="E31" s="1"/>
      <c r="F31" s="1">
        <v>1</v>
      </c>
      <c r="G31" s="1">
        <v>5</v>
      </c>
      <c r="H31" s="1">
        <f>SUM(F31:G31)</f>
        <v>6</v>
      </c>
      <c r="I31" s="1"/>
      <c r="J31" s="1"/>
      <c r="K31" s="1"/>
      <c r="L31" s="1">
        <v>1</v>
      </c>
      <c r="M31" s="1">
        <f>SUM(J31:L31)</f>
        <v>1</v>
      </c>
      <c r="N31" s="1"/>
      <c r="O31" s="1">
        <v>1</v>
      </c>
      <c r="P31" s="1"/>
      <c r="Q31" s="1"/>
      <c r="R31" s="1"/>
      <c r="S31" s="1"/>
      <c r="T31" s="1" t="s">
        <v>43</v>
      </c>
      <c r="U31" s="1"/>
      <c r="V31" s="1"/>
      <c r="W31" s="1"/>
      <c r="Z31" s="6">
        <v>37342</v>
      </c>
      <c r="AA31" s="1"/>
      <c r="AB31" s="1"/>
      <c r="AC31" s="1">
        <f>SUM(AB31,M31)</f>
        <v>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s="17" customFormat="1" x14ac:dyDescent="0.2">
      <c r="A32" s="16" t="s">
        <v>27</v>
      </c>
      <c r="B32" s="16"/>
      <c r="C32" s="16"/>
      <c r="D32" s="16">
        <v>31</v>
      </c>
      <c r="E32" s="16"/>
      <c r="F32" s="16">
        <v>2</v>
      </c>
      <c r="G32" s="16"/>
      <c r="H32" s="16">
        <f>SUM(F32:G32)</f>
        <v>2</v>
      </c>
      <c r="I32" s="16"/>
      <c r="J32" s="16"/>
      <c r="K32" s="16"/>
      <c r="L32" s="16"/>
      <c r="M32" s="16">
        <f>SUM(J32:L32)</f>
        <v>0</v>
      </c>
      <c r="N32" s="16"/>
      <c r="O32" s="16"/>
      <c r="P32" s="16"/>
      <c r="Q32" s="16"/>
      <c r="R32" s="16"/>
      <c r="S32" s="16"/>
      <c r="T32" s="16" t="s">
        <v>42</v>
      </c>
      <c r="U32" s="16"/>
      <c r="V32" s="16" t="s">
        <v>64</v>
      </c>
      <c r="W32" s="16"/>
      <c r="Z32" s="18">
        <v>36581</v>
      </c>
      <c r="AA32" s="16"/>
      <c r="AB32" s="16">
        <v>6</v>
      </c>
      <c r="AC32" s="16">
        <f>SUM(AB32,M32)</f>
        <v>6</v>
      </c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</row>
    <row r="33" spans="1:78" s="12" customFormat="1" x14ac:dyDescent="0.2">
      <c r="A33" s="11" t="s">
        <v>48</v>
      </c>
      <c r="B33" s="11"/>
      <c r="C33" s="11"/>
      <c r="D33" s="11">
        <v>10</v>
      </c>
      <c r="E33" s="11"/>
      <c r="F33" s="11"/>
      <c r="G33" s="11"/>
      <c r="H33" s="11">
        <f t="shared" si="0"/>
        <v>0</v>
      </c>
      <c r="I33" s="11"/>
      <c r="J33" s="11"/>
      <c r="K33" s="11"/>
      <c r="L33" s="11"/>
      <c r="M33" s="11">
        <f t="shared" si="1"/>
        <v>0</v>
      </c>
      <c r="N33" s="11"/>
      <c r="O33" s="11"/>
      <c r="P33" s="11"/>
      <c r="Q33" s="11"/>
      <c r="R33" s="11"/>
      <c r="S33" s="11"/>
      <c r="T33" s="11" t="s">
        <v>41</v>
      </c>
      <c r="U33" s="11"/>
      <c r="V33" s="11" t="s">
        <v>63</v>
      </c>
      <c r="W33" s="11"/>
      <c r="Z33" s="13">
        <v>36716</v>
      </c>
      <c r="AA33" s="11"/>
      <c r="AB33" s="11">
        <v>2</v>
      </c>
      <c r="AC33" s="11">
        <f t="shared" si="2"/>
        <v>2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 spans="1:78" s="12" customFormat="1" x14ac:dyDescent="0.2">
      <c r="A34" s="11" t="s">
        <v>86</v>
      </c>
      <c r="B34" s="11"/>
      <c r="C34" s="11"/>
      <c r="D34" s="11"/>
      <c r="E34" s="11"/>
      <c r="F34" s="11">
        <v>1</v>
      </c>
      <c r="G34" s="11"/>
      <c r="H34" s="11">
        <f t="shared" si="0"/>
        <v>1</v>
      </c>
      <c r="I34" s="11"/>
      <c r="J34" s="11"/>
      <c r="K34" s="11"/>
      <c r="L34" s="11"/>
      <c r="M34" s="11">
        <f>SUM(J34,K34,L34)</f>
        <v>0</v>
      </c>
      <c r="N34" s="11"/>
      <c r="O34" s="11"/>
      <c r="P34" s="11"/>
      <c r="Q34" s="11"/>
      <c r="R34" s="11"/>
      <c r="S34" s="11"/>
      <c r="T34" s="11" t="s">
        <v>87</v>
      </c>
      <c r="U34" s="11"/>
      <c r="V34" s="11"/>
      <c r="W34" s="11"/>
      <c r="Z34" s="13">
        <v>37506</v>
      </c>
      <c r="AA34" s="11"/>
      <c r="AB34" s="11"/>
      <c r="AC34" s="11">
        <f t="shared" si="2"/>
        <v>0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</row>
    <row r="35" spans="1:78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x14ac:dyDescent="0.2">
      <c r="A39" s="1" t="s">
        <v>73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x14ac:dyDescent="0.2">
      <c r="A41" s="8" t="s">
        <v>75</v>
      </c>
      <c r="B41" s="1"/>
      <c r="C41" s="10" t="s">
        <v>76</v>
      </c>
      <c r="D41" s="10"/>
      <c r="E41" s="9" t="s">
        <v>77</v>
      </c>
      <c r="F41" s="1" t="s">
        <v>78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x14ac:dyDescent="0.2">
      <c r="A42" s="1"/>
      <c r="B42" s="1"/>
      <c r="C42" s="1"/>
      <c r="D42" s="1"/>
      <c r="E42" s="1"/>
      <c r="F42" s="1" t="s">
        <v>79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x14ac:dyDescent="0.2">
      <c r="A44" s="8" t="s">
        <v>83</v>
      </c>
      <c r="B44" s="1"/>
      <c r="C44" s="1" t="s">
        <v>76</v>
      </c>
      <c r="D44" s="1"/>
      <c r="E44" s="9" t="s">
        <v>85</v>
      </c>
      <c r="F44" s="1" t="s">
        <v>78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x14ac:dyDescent="0.2">
      <c r="A45" s="1"/>
      <c r="B45" s="1"/>
      <c r="C45" s="1"/>
      <c r="D45" s="1"/>
      <c r="E45" s="1"/>
      <c r="F45" s="1" t="s">
        <v>84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x14ac:dyDescent="0.2">
      <c r="A47" s="1" t="s">
        <v>91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x14ac:dyDescent="0.2">
      <c r="A49" s="8" t="s">
        <v>94</v>
      </c>
      <c r="B49" s="1"/>
      <c r="C49" s="1" t="s">
        <v>78</v>
      </c>
      <c r="D49" s="1"/>
      <c r="E49" s="1" t="s">
        <v>95</v>
      </c>
      <c r="F49" s="1" t="s">
        <v>96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x14ac:dyDescent="0.2">
      <c r="A50" s="1"/>
      <c r="B50" s="1"/>
      <c r="C50" s="1" t="s">
        <v>97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x14ac:dyDescent="0.2">
      <c r="A51" s="1"/>
      <c r="B51" s="1"/>
      <c r="C51" s="1" t="s">
        <v>98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x14ac:dyDescent="0.2">
      <c r="A53" s="8" t="s">
        <v>99</v>
      </c>
      <c r="B53" s="1"/>
      <c r="C53" s="1" t="s">
        <v>103</v>
      </c>
      <c r="D53" s="1"/>
      <c r="E53" s="1" t="s">
        <v>104</v>
      </c>
      <c r="F53" s="1" t="s">
        <v>105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x14ac:dyDescent="0.2">
      <c r="A54" s="1"/>
      <c r="B54" s="1"/>
      <c r="C54" s="1" t="s">
        <v>106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x14ac:dyDescent="0.2">
      <c r="A56" s="8" t="s">
        <v>107</v>
      </c>
      <c r="B56" s="1"/>
      <c r="C56" s="1" t="s">
        <v>78</v>
      </c>
      <c r="D56" s="1"/>
      <c r="E56" s="1" t="s">
        <v>108</v>
      </c>
      <c r="F56" s="1" t="s">
        <v>109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x14ac:dyDescent="0.2">
      <c r="A57" s="1"/>
      <c r="B57" s="1"/>
      <c r="C57" s="1" t="s">
        <v>126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x14ac:dyDescent="0.2">
      <c r="A58" s="1"/>
      <c r="B58" s="1"/>
      <c r="C58" s="1" t="s">
        <v>110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x14ac:dyDescent="0.2">
      <c r="A60" s="8" t="s">
        <v>111</v>
      </c>
      <c r="B60" s="1"/>
      <c r="C60" s="1" t="s">
        <v>103</v>
      </c>
      <c r="D60" s="1"/>
      <c r="E60" s="1" t="s">
        <v>112</v>
      </c>
      <c r="F60" s="1" t="s">
        <v>96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x14ac:dyDescent="0.2">
      <c r="A61" s="1"/>
      <c r="B61" s="1"/>
      <c r="C61" s="1" t="s">
        <v>113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x14ac:dyDescent="0.2">
      <c r="A62" s="1"/>
      <c r="B62" s="1"/>
      <c r="C62" s="1" t="s">
        <v>114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x14ac:dyDescent="0.2">
      <c r="A63" s="1"/>
      <c r="B63" s="1"/>
      <c r="C63" s="1" t="s">
        <v>115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2">
      <c r="A65" s="8" t="s">
        <v>116</v>
      </c>
      <c r="B65" s="1"/>
      <c r="C65" s="1" t="s">
        <v>78</v>
      </c>
      <c r="D65" s="1"/>
      <c r="E65" s="1" t="s">
        <v>118</v>
      </c>
      <c r="F65" s="1" t="s">
        <v>117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2">
      <c r="A66" s="1"/>
      <c r="B66" s="1"/>
      <c r="C66" s="1" t="s">
        <v>126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2">
      <c r="A67" s="1"/>
      <c r="B67" s="1"/>
      <c r="C67" s="1" t="s">
        <v>79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2">
      <c r="A69" s="8" t="s">
        <v>121</v>
      </c>
      <c r="B69" s="1"/>
      <c r="C69" s="1" t="s">
        <v>119</v>
      </c>
      <c r="D69" s="1"/>
      <c r="E69" s="1" t="s">
        <v>120</v>
      </c>
      <c r="F69" s="1" t="s">
        <v>78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2">
      <c r="A70" s="1"/>
      <c r="B70" s="1"/>
      <c r="C70" s="1"/>
      <c r="D70" s="1"/>
      <c r="E70" s="1"/>
      <c r="F70" s="1" t="s">
        <v>126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2">
      <c r="A71" s="1"/>
      <c r="B71" s="1"/>
      <c r="C71" s="1"/>
      <c r="D71" s="1"/>
      <c r="E71" s="1"/>
      <c r="F71" s="1" t="s">
        <v>106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2">
      <c r="A73" s="8" t="s">
        <v>122</v>
      </c>
      <c r="B73" s="1"/>
      <c r="C73" s="1" t="s">
        <v>123</v>
      </c>
      <c r="D73" s="1"/>
      <c r="E73" s="1" t="s">
        <v>124</v>
      </c>
      <c r="F73" s="1" t="s">
        <v>78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spans="1:78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spans="1:78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spans="1:78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spans="1:78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spans="1:78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spans="1:7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spans="1:78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</row>
    <row r="127" spans="1:78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</row>
    <row r="128" spans="1:78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</row>
    <row r="131" spans="1:78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</row>
    <row r="132" spans="1:78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</row>
    <row r="133" spans="1:78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</row>
    <row r="134" spans="1:78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78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</row>
    <row r="146" spans="1:78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</row>
    <row r="147" spans="1:78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</row>
    <row r="148" spans="1:78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</row>
    <row r="149" spans="1:78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</row>
    <row r="150" spans="1:78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</row>
    <row r="151" spans="1:78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</row>
    <row r="152" spans="1:78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</row>
    <row r="153" spans="1:78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</row>
    <row r="154" spans="1:78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</row>
    <row r="155" spans="1:78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</row>
    <row r="156" spans="1:78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</row>
    <row r="157" spans="1:78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spans="1:78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spans="1:78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spans="1:78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spans="1:78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spans="1:78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spans="1:78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spans="1:78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</row>
    <row r="165" spans="1:7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spans="1:78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spans="1:78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spans="1:78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</row>
    <row r="169" spans="1:78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</row>
    <row r="170" spans="1:78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spans="1:78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spans="1:78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spans="1:78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</row>
    <row r="174" spans="1:78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</row>
    <row r="175" spans="1:78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spans="1:78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spans="1:78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spans="1:78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spans="1:78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</row>
    <row r="180" spans="1:78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</row>
    <row r="181" spans="1:78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</row>
    <row r="182" spans="1:78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</row>
    <row r="183" spans="1:78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</row>
    <row r="184" spans="1:78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</row>
    <row r="185" spans="1:78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</row>
    <row r="186" spans="1:7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</row>
    <row r="187" spans="1:78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</row>
    <row r="188" spans="1:78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</row>
    <row r="189" spans="1:78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</row>
    <row r="190" spans="1:78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</row>
    <row r="191" spans="1:78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</row>
    <row r="192" spans="1:78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</row>
    <row r="193" spans="1:78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</row>
    <row r="194" spans="1:78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</row>
    <row r="195" spans="1:78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</row>
    <row r="196" spans="1:78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</row>
    <row r="197" spans="1:78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</row>
    <row r="198" spans="1:78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</row>
    <row r="199" spans="1:78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</row>
    <row r="200" spans="1:7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</row>
    <row r="201" spans="1:78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</row>
    <row r="202" spans="1:78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</row>
    <row r="203" spans="1:78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</row>
    <row r="204" spans="1:78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</row>
    <row r="205" spans="1:78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</row>
    <row r="206" spans="1:7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</row>
    <row r="207" spans="1:7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</row>
    <row r="208" spans="1:78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</row>
    <row r="209" spans="1:78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</row>
    <row r="210" spans="1:78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</row>
    <row r="211" spans="1:78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</row>
    <row r="212" spans="1:7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</row>
    <row r="213" spans="1:78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</row>
    <row r="214" spans="1:78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</row>
    <row r="215" spans="1:78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</row>
    <row r="216" spans="1:78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</row>
    <row r="217" spans="1:78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</row>
    <row r="218" spans="1:78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</row>
    <row r="219" spans="1:7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</row>
    <row r="220" spans="1:78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</row>
    <row r="221" spans="1:78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</row>
    <row r="222" spans="1:7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</row>
    <row r="223" spans="1:78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</row>
    <row r="224" spans="1:78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</row>
    <row r="225" spans="1:78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</row>
    <row r="226" spans="1:78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</row>
    <row r="227" spans="1:78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</row>
    <row r="228" spans="1:78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</row>
    <row r="229" spans="1:78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</row>
    <row r="230" spans="1:78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spans="1:78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spans="1:78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spans="1:78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spans="1:7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</row>
    <row r="235" spans="1:7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</row>
    <row r="236" spans="1:7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</row>
    <row r="237" spans="1:78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</row>
    <row r="238" spans="1:7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</row>
    <row r="239" spans="1:78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</row>
    <row r="240" spans="1:78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</row>
    <row r="241" spans="1:7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</row>
    <row r="242" spans="1:7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</row>
    <row r="243" spans="1:7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</row>
    <row r="244" spans="1:7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</row>
    <row r="245" spans="1:78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</row>
    <row r="246" spans="1:78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</row>
    <row r="247" spans="1:7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</row>
    <row r="248" spans="1:78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</row>
    <row r="249" spans="1:78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</row>
    <row r="250" spans="1:78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</row>
    <row r="251" spans="1:78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</row>
    <row r="252" spans="1:78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</row>
    <row r="253" spans="1:7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</row>
    <row r="254" spans="1:7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</row>
    <row r="255" spans="1:7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</row>
    <row r="256" spans="1:7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</row>
    <row r="257" spans="1:7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</row>
    <row r="258" spans="1:7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</row>
    <row r="259" spans="1:7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</row>
    <row r="260" spans="1:7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</row>
    <row r="261" spans="1:7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</row>
    <row r="262" spans="1:7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</row>
    <row r="263" spans="1:7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</row>
    <row r="264" spans="1:78" x14ac:dyDescent="0.2"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</row>
    <row r="265" spans="1:78" x14ac:dyDescent="0.2"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</row>
  </sheetData>
  <customSheetViews>
    <customSheetView guid="{BDA24EDC-855E-3043-8B0E-6E43ED6DDC1A}" topLeftCell="A32">
      <selection activeCell="F70" sqref="F70"/>
      <pageMargins left="0.7" right="0.7" top="0.75" bottom="0.75" header="0.3" footer="0.3"/>
      <pageSetup paperSize="9" orientation="portrait" r:id="rId1"/>
    </customSheetView>
    <customSheetView guid="{732A3E98-21F1-4683-8627-B42F20E3CD9F}" topLeftCell="A5">
      <selection activeCell="I47" sqref="I47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16" workbookViewId="0">
      <selection activeCell="E138" sqref="E138"/>
    </sheetView>
  </sheetViews>
  <sheetFormatPr baseColWidth="10" defaultColWidth="8.83203125" defaultRowHeight="15" x14ac:dyDescent="0.2"/>
  <sheetData/>
  <customSheetViews>
    <customSheetView guid="{BDA24EDC-855E-3043-8B0E-6E43ED6DDC1A}" topLeftCell="A116">
      <selection activeCell="E138" sqref="E138"/>
      <pageMargins left="0.7" right="0.7" top="0.75" bottom="0.75" header="0.3" footer="0.3"/>
      <pageSetup paperSize="0" orientation="portrait" horizontalDpi="0" verticalDpi="0" copies="0"/>
    </customSheetView>
    <customSheetView guid="{732A3E98-21F1-4683-8627-B42F20E3CD9F}">
      <pageMargins left="0.7" right="0.7" top="0.75" bottom="0.75" header="0.3" footer="0.3"/>
      <pageSetup paperSize="0" orientation="portrait" horizontalDpi="0" verticalDpi="0" copies="0"/>
    </customSheetView>
  </customSheetView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customSheetViews>
    <customSheetView guid="{BDA24EDC-855E-3043-8B0E-6E43ED6DDC1A}">
      <pageMargins left="0.7" right="0.7" top="0.75" bottom="0.75" header="0.3" footer="0.3"/>
      <pageSetup paperSize="0" orientation="portrait" horizontalDpi="0" verticalDpi="0" copies="0"/>
    </customSheetView>
    <customSheetView guid="{732A3E98-21F1-4683-8627-B42F20E3CD9F}">
      <pageMargins left="0.7" right="0.7" top="0.75" bottom="0.75" header="0.3" footer="0.3"/>
      <pageSetup paperSize="0" orientation="portrait" horizontalDpi="0" verticalDpi="0" copies="0"/>
    </customSheetView>
  </customSheetView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Cutroni</cp:lastModifiedBy>
  <dcterms:created xsi:type="dcterms:W3CDTF">2006-09-25T09:17:32Z</dcterms:created>
  <dcterms:modified xsi:type="dcterms:W3CDTF">2025-11-18T22:59:00Z</dcterms:modified>
</cp:coreProperties>
</file>