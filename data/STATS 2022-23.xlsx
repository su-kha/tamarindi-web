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totti/Developer/fun/tamarindi-web/data/"/>
    </mc:Choice>
  </mc:AlternateContent>
  <xr:revisionPtr revIDLastSave="0" documentId="13_ncr:1_{13F00989-037E-A44F-9AD5-FC01A1A0B6E4}" xr6:coauthVersionLast="47" xr6:coauthVersionMax="47" xr10:uidLastSave="{00000000-0000-0000-0000-000000000000}"/>
  <bookViews>
    <workbookView xWindow="10140" yWindow="5780" windowWidth="15960" windowHeight="18080" xr2:uid="{00000000-000D-0000-FFFF-FFFF00000000}"/>
  </bookViews>
  <sheets>
    <sheet name="Foglio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43" i="2" l="1" a="1"/>
  <c r="S43" i="2" s="1"/>
  <c r="T43" i="2" s="1" a="1"/>
  <c r="T43" i="2" s="1"/>
  <c r="M43" i="2" a="1"/>
  <c r="M43" i="2"/>
  <c r="N43" i="2" s="1" a="1"/>
  <c r="N43" i="2" s="1"/>
  <c r="H43" i="2" a="1"/>
  <c r="H43" i="2"/>
  <c r="S42" i="2" a="1"/>
  <c r="S42" i="2"/>
  <c r="T42" i="2" s="1" a="1"/>
  <c r="T42" i="2" s="1"/>
  <c r="M42" i="2" a="1"/>
  <c r="M42" i="2"/>
  <c r="N42" i="2" s="1" a="1"/>
  <c r="N42" i="2" s="1"/>
  <c r="H42" i="2" a="1"/>
  <c r="H42" i="2"/>
  <c r="S41" i="2" a="1"/>
  <c r="S41" i="2"/>
  <c r="T41" i="2" s="1" a="1"/>
  <c r="T41" i="2" s="1"/>
  <c r="M41" i="2" a="1"/>
  <c r="M41" i="2"/>
  <c r="N41" i="2" s="1" a="1"/>
  <c r="N41" i="2" s="1"/>
  <c r="H41" i="2" a="1"/>
  <c r="H41" i="2"/>
  <c r="S40" i="2" a="1"/>
  <c r="S40" i="2"/>
  <c r="T40" i="2" s="1" a="1"/>
  <c r="T40" i="2" s="1"/>
  <c r="M40" i="2" a="1"/>
  <c r="M40" i="2"/>
  <c r="N40" i="2" s="1" a="1"/>
  <c r="N40" i="2" s="1"/>
  <c r="H40" i="2" a="1"/>
  <c r="H40" i="2"/>
  <c r="S39" i="2" a="1"/>
  <c r="S39" i="2"/>
  <c r="T39" i="2" s="1" a="1"/>
  <c r="T39" i="2" s="1"/>
  <c r="M39" i="2" a="1"/>
  <c r="M39" i="2"/>
  <c r="N39" i="2" s="1" a="1"/>
  <c r="N39" i="2" s="1"/>
  <c r="H39" i="2" a="1"/>
  <c r="H39" i="2"/>
  <c r="S38" i="2" a="1"/>
  <c r="S38" i="2"/>
  <c r="T38" i="2" s="1" a="1"/>
  <c r="T38" i="2" s="1"/>
  <c r="M38" i="2" a="1"/>
  <c r="M38" i="2"/>
  <c r="N38" i="2" s="1" a="1"/>
  <c r="N38" i="2" s="1"/>
  <c r="H38" i="2" a="1"/>
  <c r="H38" i="2"/>
  <c r="S37" i="2" a="1"/>
  <c r="S37" i="2"/>
  <c r="T37" i="2" s="1" a="1"/>
  <c r="T37" i="2" s="1"/>
  <c r="M37" i="2" a="1"/>
  <c r="M37" i="2"/>
  <c r="N37" i="2" s="1" a="1"/>
  <c r="N37" i="2" s="1"/>
  <c r="H37" i="2" a="1"/>
  <c r="H37" i="2"/>
  <c r="S36" i="2" a="1"/>
  <c r="S36" i="2"/>
  <c r="T36" i="2" s="1" a="1"/>
  <c r="T36" i="2" s="1"/>
  <c r="M36" i="2" a="1"/>
  <c r="M36" i="2"/>
  <c r="N36" i="2" s="1" a="1"/>
  <c r="N36" i="2" s="1"/>
  <c r="H36" i="2" a="1"/>
  <c r="H36" i="2"/>
  <c r="S35" i="2" a="1"/>
  <c r="S35" i="2"/>
  <c r="T35" i="2" s="1" a="1"/>
  <c r="T35" i="2" s="1"/>
  <c r="M35" i="2" a="1"/>
  <c r="M35" i="2"/>
  <c r="N35" i="2" s="1" a="1"/>
  <c r="N35" i="2" s="1"/>
  <c r="H35" i="2" a="1"/>
  <c r="H35" i="2"/>
  <c r="S34" i="2" a="1"/>
  <c r="S34" i="2"/>
  <c r="T34" i="2" s="1" a="1"/>
  <c r="T34" i="2" s="1"/>
  <c r="M34" i="2" a="1"/>
  <c r="M34" i="2"/>
  <c r="N34" i="2" s="1" a="1"/>
  <c r="N34" i="2" s="1"/>
  <c r="H34" i="2" a="1"/>
  <c r="H34" i="2"/>
  <c r="S33" i="2" a="1"/>
  <c r="S33" i="2"/>
  <c r="T33" i="2" s="1" a="1"/>
  <c r="T33" i="2" s="1"/>
  <c r="M33" i="2" a="1"/>
  <c r="M33" i="2"/>
  <c r="N33" i="2" s="1" a="1"/>
  <c r="N33" i="2" s="1"/>
  <c r="H33" i="2" a="1"/>
  <c r="H33" i="2"/>
  <c r="S32" i="2" a="1"/>
  <c r="S32" i="2"/>
  <c r="T32" i="2" s="1" a="1"/>
  <c r="T32" i="2" s="1"/>
  <c r="M32" i="2" a="1"/>
  <c r="M32" i="2"/>
  <c r="N32" i="2" s="1" a="1"/>
  <c r="N32" i="2" s="1"/>
  <c r="H32" i="2" a="1"/>
  <c r="H32" i="2"/>
  <c r="S31" i="2" a="1"/>
  <c r="S31" i="2"/>
  <c r="T31" i="2" s="1" a="1"/>
  <c r="T31" i="2" s="1"/>
  <c r="M31" i="2" a="1"/>
  <c r="M31" i="2"/>
  <c r="N31" i="2" s="1" a="1"/>
  <c r="N31" i="2" s="1"/>
  <c r="H31" i="2" a="1"/>
  <c r="H31" i="2" s="1"/>
  <c r="S30" i="2" a="1"/>
  <c r="S30" i="2" s="1"/>
  <c r="T30" i="2" s="1" a="1"/>
  <c r="T30" i="2" s="1"/>
  <c r="M30" i="2" a="1"/>
  <c r="M30" i="2"/>
  <c r="N30" i="2" s="1" a="1"/>
  <c r="N30" i="2" s="1"/>
  <c r="H30" i="2" a="1"/>
  <c r="H30" i="2"/>
  <c r="S29" i="2" a="1"/>
  <c r="S29" i="2"/>
  <c r="T29" i="2" s="1" a="1"/>
  <c r="T29" i="2" s="1"/>
  <c r="M29" i="2" a="1"/>
  <c r="M29" i="2"/>
  <c r="N29" i="2" s="1" a="1"/>
  <c r="N29" i="2" s="1"/>
  <c r="H29" i="2" a="1"/>
  <c r="H29" i="2"/>
  <c r="S28" i="2" a="1"/>
  <c r="S28" i="2"/>
  <c r="T28" i="2" s="1" a="1"/>
  <c r="T28" i="2" s="1"/>
  <c r="M28" i="2" a="1"/>
  <c r="M28" i="2"/>
  <c r="N28" i="2" s="1" a="1"/>
  <c r="N28" i="2" s="1"/>
  <c r="H28" i="2" a="1"/>
  <c r="H28" i="2"/>
  <c r="S27" i="2" a="1"/>
  <c r="S27" i="2" s="1"/>
  <c r="T27" i="2" s="1" a="1"/>
  <c r="T27" i="2" s="1"/>
  <c r="M27" i="2" a="1"/>
  <c r="M27" i="2"/>
  <c r="N27" i="2" s="1" a="1"/>
  <c r="N27" i="2" s="1"/>
  <c r="H27" i="2" a="1"/>
  <c r="H27" i="2"/>
  <c r="S26" i="2" a="1"/>
  <c r="S26" i="2"/>
  <c r="T26" i="2" s="1" a="1"/>
  <c r="T26" i="2" s="1"/>
  <c r="M26" i="2" a="1"/>
  <c r="M26" i="2"/>
  <c r="N26" i="2" s="1" a="1"/>
  <c r="N26" i="2" s="1"/>
  <c r="H26" i="2" a="1"/>
  <c r="H26" i="2"/>
  <c r="S25" i="2" a="1"/>
  <c r="S25" i="2"/>
  <c r="T25" i="2" s="1" a="1"/>
  <c r="T25" i="2" s="1"/>
  <c r="M25" i="2" a="1"/>
  <c r="M25" i="2"/>
  <c r="N25" i="2" s="1" a="1"/>
  <c r="N25" i="2" s="1"/>
  <c r="H25" i="2" a="1"/>
  <c r="H25" i="2"/>
  <c r="S24" i="2" a="1"/>
  <c r="S24" i="2"/>
  <c r="T24" i="2" s="1" a="1"/>
  <c r="T24" i="2" s="1"/>
  <c r="M24" i="2" a="1"/>
  <c r="M24" i="2"/>
  <c r="N24" i="2" s="1" a="1"/>
  <c r="N24" i="2" s="1"/>
  <c r="H24" i="2" a="1"/>
  <c r="H24" i="2"/>
  <c r="S23" i="2" a="1"/>
  <c r="S23" i="2"/>
  <c r="T23" i="2" s="1" a="1"/>
  <c r="T23" i="2" s="1"/>
  <c r="M23" i="2" a="1"/>
  <c r="M23" i="2"/>
  <c r="N23" i="2" s="1" a="1"/>
  <c r="N23" i="2" s="1"/>
  <c r="H23" i="2" a="1"/>
  <c r="H23" i="2"/>
  <c r="S22" i="2" a="1"/>
  <c r="S22" i="2"/>
  <c r="T22" i="2" s="1" a="1"/>
  <c r="T22" i="2" s="1"/>
  <c r="M22" i="2" a="1"/>
  <c r="M22" i="2"/>
  <c r="N22" i="2" s="1" a="1"/>
  <c r="N22" i="2" s="1"/>
  <c r="H22" i="2" a="1"/>
  <c r="H22" i="2"/>
  <c r="S21" i="2" a="1"/>
  <c r="S21" i="2"/>
  <c r="T21" i="2" s="1" a="1"/>
  <c r="T21" i="2" s="1"/>
  <c r="M21" i="2" a="1"/>
  <c r="M21" i="2"/>
  <c r="N21" i="2" s="1" a="1"/>
  <c r="N21" i="2" s="1"/>
  <c r="H21" i="2" a="1"/>
  <c r="H21" i="2"/>
  <c r="S20" i="2" a="1"/>
  <c r="S20" i="2"/>
  <c r="T20" i="2" s="1" a="1"/>
  <c r="T20" i="2" s="1"/>
  <c r="M20" i="2" a="1"/>
  <c r="M20" i="2"/>
  <c r="N20" i="2" s="1" a="1"/>
  <c r="N20" i="2" s="1"/>
  <c r="H20" i="2" a="1"/>
  <c r="H20" i="2"/>
  <c r="S19" i="2" a="1"/>
  <c r="S19" i="2"/>
  <c r="T19" i="2" s="1" a="1"/>
  <c r="T19" i="2" s="1"/>
  <c r="M19" i="2" a="1"/>
  <c r="M19" i="2"/>
  <c r="N19" i="2" s="1" a="1"/>
  <c r="N19" i="2" s="1"/>
  <c r="H19" i="2" a="1"/>
  <c r="H19" i="2"/>
  <c r="S17" i="2" a="1"/>
  <c r="S17" i="2"/>
  <c r="T17" i="2" s="1" a="1"/>
  <c r="T17" i="2" s="1"/>
  <c r="M17" i="2" a="1"/>
  <c r="M17" i="2"/>
  <c r="N17" i="2" s="1" a="1"/>
  <c r="N17" i="2" s="1"/>
  <c r="H17" i="2" a="1"/>
  <c r="H17" i="2"/>
  <c r="S16" i="2" a="1"/>
  <c r="S16" i="2"/>
  <c r="T16" i="2" s="1" a="1"/>
  <c r="T16" i="2" s="1"/>
  <c r="M16" i="2" a="1"/>
  <c r="M16" i="2"/>
  <c r="N16" i="2" s="1" a="1"/>
  <c r="N16" i="2" s="1"/>
  <c r="H16" i="2" a="1"/>
  <c r="H16" i="2" s="1"/>
  <c r="S15" i="2" a="1"/>
  <c r="S15" i="2" s="1"/>
  <c r="T15" i="2" s="1" a="1"/>
  <c r="T15" i="2" s="1"/>
  <c r="M15" i="2" a="1"/>
  <c r="M15" i="2" s="1"/>
  <c r="N15" i="2" s="1" a="1"/>
  <c r="N15" i="2" s="1"/>
  <c r="H15" i="2" a="1"/>
  <c r="H15" i="2" s="1"/>
  <c r="S14" i="2" a="1"/>
  <c r="S14" i="2" s="1"/>
  <c r="T14" i="2" s="1" a="1"/>
  <c r="T14" i="2" s="1"/>
  <c r="M14" i="2" a="1"/>
  <c r="M14" i="2" s="1"/>
  <c r="N14" i="2" s="1" a="1"/>
  <c r="N14" i="2" s="1"/>
  <c r="H14" i="2" a="1"/>
  <c r="H14" i="2"/>
  <c r="S13" i="2" a="1"/>
  <c r="S13" i="2" s="1"/>
  <c r="T13" i="2" s="1" a="1"/>
  <c r="T13" i="2" s="1"/>
  <c r="M13" i="2" a="1"/>
  <c r="M13" i="2" s="1"/>
  <c r="N13" i="2" s="1" a="1"/>
  <c r="N13" i="2" s="1"/>
  <c r="H13" i="2" a="1"/>
  <c r="H13" i="2" s="1"/>
  <c r="S12" i="2" a="1"/>
  <c r="S12" i="2" s="1"/>
  <c r="T12" i="2" s="1" a="1"/>
  <c r="T12" i="2" s="1"/>
  <c r="M12" i="2" a="1"/>
  <c r="M12" i="2" s="1"/>
  <c r="N12" i="2" s="1" a="1"/>
  <c r="N12" i="2" s="1"/>
  <c r="H12" i="2" a="1"/>
  <c r="H12" i="2" s="1"/>
  <c r="S11" i="2" a="1"/>
  <c r="S11" i="2" s="1"/>
  <c r="T11" i="2" s="1" a="1"/>
  <c r="T11" i="2" s="1"/>
  <c r="M11" i="2" a="1"/>
  <c r="M11" i="2" s="1"/>
  <c r="N11" i="2" s="1" a="1"/>
  <c r="N11" i="2" s="1"/>
  <c r="H11" i="2" a="1"/>
  <c r="H11" i="2" s="1"/>
  <c r="T10" i="2" a="1"/>
  <c r="T10" i="2" s="1"/>
  <c r="S10" i="2" a="1"/>
  <c r="S10" i="2"/>
  <c r="M10" i="2" a="1"/>
  <c r="M10" i="2"/>
  <c r="N10" i="2" s="1" a="1"/>
  <c r="N10" i="2" s="1"/>
  <c r="H10" i="2" a="1"/>
  <c r="H10" i="2"/>
  <c r="S9" i="2" a="1"/>
  <c r="S9" i="2"/>
  <c r="T9" i="2" s="1" a="1"/>
  <c r="T9" i="2" s="1"/>
  <c r="M9" i="2" a="1"/>
  <c r="M9" i="2"/>
  <c r="N9" i="2" s="1" a="1"/>
  <c r="N9" i="2" s="1"/>
  <c r="H9" i="2" a="1"/>
  <c r="H9" i="2" s="1"/>
  <c r="S8" i="2" a="1"/>
  <c r="S8" i="2" s="1"/>
  <c r="T8" i="2" s="1" a="1"/>
  <c r="T8" i="2" s="1"/>
  <c r="M8" i="2" a="1"/>
  <c r="M8" i="2" s="1"/>
  <c r="N8" i="2" s="1" a="1"/>
  <c r="N8" i="2" s="1"/>
  <c r="H8" i="2" a="1"/>
  <c r="H8" i="2" s="1"/>
  <c r="S7" i="2" a="1"/>
  <c r="S7" i="2" s="1"/>
  <c r="T7" i="2" s="1" a="1"/>
  <c r="T7" i="2" s="1"/>
  <c r="M7" i="2" a="1"/>
  <c r="M7" i="2" s="1"/>
  <c r="N7" i="2" s="1" a="1"/>
  <c r="N7" i="2" s="1"/>
  <c r="H7" i="2" a="1"/>
  <c r="H7" i="2" s="1"/>
  <c r="S6" i="2" a="1"/>
  <c r="S6" i="2" s="1"/>
  <c r="T6" i="2" s="1" a="1"/>
  <c r="T6" i="2" s="1"/>
  <c r="M6" i="2" a="1"/>
  <c r="M6" i="2" s="1"/>
  <c r="N6" i="2" s="1" a="1"/>
  <c r="N6" i="2" s="1"/>
  <c r="H6" i="2" a="1"/>
  <c r="H6" i="2" s="1"/>
  <c r="S5" i="2" a="1"/>
  <c r="S5" i="2" s="1"/>
  <c r="T5" i="2" s="1" a="1"/>
  <c r="T5" i="2" s="1"/>
  <c r="M5" i="2" a="1"/>
  <c r="M5" i="2" s="1"/>
  <c r="N5" i="2" s="1" a="1"/>
  <c r="N5" i="2" s="1"/>
  <c r="H5" i="2" a="1"/>
  <c r="H5" i="2"/>
  <c r="S4" i="2" a="1"/>
  <c r="S4" i="2" s="1"/>
  <c r="T4" i="2" s="1" a="1"/>
  <c r="T4" i="2" s="1"/>
  <c r="M4" i="2" a="1"/>
  <c r="M4" i="2" s="1"/>
  <c r="N4" i="2" s="1" a="1"/>
  <c r="N4" i="2" s="1"/>
  <c r="H4" i="2" a="1"/>
  <c r="H4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<sst xmlns="http://schemas.openxmlformats.org/spreadsheetml/2006/main" count="239" uniqueCount="152">
  <si>
    <t>Giocatore</t>
  </si>
  <si>
    <t>N. di maglia</t>
  </si>
  <si>
    <t>Presenze</t>
  </si>
  <si>
    <t>Gol</t>
  </si>
  <si>
    <t xml:space="preserve">     Assist</t>
  </si>
  <si>
    <t xml:space="preserve">             Cartellini</t>
  </si>
  <si>
    <t>Ruoli</t>
  </si>
  <si>
    <t>Soprannomi</t>
  </si>
  <si>
    <t>Amichevoli</t>
  </si>
  <si>
    <t>Campionato</t>
  </si>
  <si>
    <t>Totali</t>
  </si>
  <si>
    <t>Precedenti</t>
  </si>
  <si>
    <t>Totali 22/23</t>
  </si>
  <si>
    <t xml:space="preserve">      Gialli</t>
  </si>
  <si>
    <t xml:space="preserve">      Rossi</t>
  </si>
  <si>
    <t>Matteo Torretta</t>
  </si>
  <si>
    <t>POR</t>
  </si>
  <si>
    <t>Mano del colosso (di Rodi)</t>
  </si>
  <si>
    <t>Davide Scocco</t>
  </si>
  <si>
    <t>TD/TS/ED</t>
  </si>
  <si>
    <t>L'impeto vincente</t>
  </si>
  <si>
    <t>Matteo Cutroni</t>
  </si>
  <si>
    <t>DC</t>
  </si>
  <si>
    <t>Pantorilla de Kripton</t>
  </si>
  <si>
    <t>Giuseppe D'Amato</t>
  </si>
  <si>
    <t>DC/TD</t>
  </si>
  <si>
    <t>Muraglia Apula</t>
  </si>
  <si>
    <t>Alessio Ciolli</t>
  </si>
  <si>
    <t>DC/TD/CC</t>
  </si>
  <si>
    <t>Luca Coddetta</t>
  </si>
  <si>
    <t>CC/ES/TS</t>
  </si>
  <si>
    <t>Skywalker, la nuova speranza</t>
  </si>
  <si>
    <t>Luca Cannizzaro</t>
  </si>
  <si>
    <t>Marco Gioffredi</t>
  </si>
  <si>
    <t>CC/ED/ES</t>
  </si>
  <si>
    <t>La mezzaquila di Graz</t>
  </si>
  <si>
    <t>Giorgio Caron</t>
  </si>
  <si>
    <t>CC/AT</t>
  </si>
  <si>
    <t>Il traghettatore di anime</t>
  </si>
  <si>
    <t>Leonardo D'Ippolito</t>
  </si>
  <si>
    <t>ATT/CC</t>
  </si>
  <si>
    <t>Antonio Epifani</t>
  </si>
  <si>
    <t>ATT</t>
  </si>
  <si>
    <t>Michele Botta</t>
  </si>
  <si>
    <t>Holly, l'uomo della trequarti</t>
  </si>
  <si>
    <t>Francesco Colella</t>
  </si>
  <si>
    <t>Mahatma magnetico</t>
  </si>
  <si>
    <t>Alessandro Giacomelli</t>
  </si>
  <si>
    <t>Alessandro Pietravalle</t>
  </si>
  <si>
    <t>Odino veste nike</t>
  </si>
  <si>
    <t>Davide Serra</t>
  </si>
  <si>
    <t>Matteo Marcantonio</t>
  </si>
  <si>
    <t>Emiliano Benedetti</t>
  </si>
  <si>
    <t>Flavio Di Fonso</t>
  </si>
  <si>
    <t>Andrea Alliu</t>
  </si>
  <si>
    <t>Jacopo Carlini</t>
  </si>
  <si>
    <t>Nathan Swift</t>
  </si>
  <si>
    <t>Joey Giammari</t>
  </si>
  <si>
    <t>L'olandese volante</t>
  </si>
  <si>
    <t>Pistilli Massimo</t>
  </si>
  <si>
    <t>Fabio Iannuccelli</t>
  </si>
  <si>
    <t>Pendolino GPL</t>
  </si>
  <si>
    <t>Federico Acconcia</t>
  </si>
  <si>
    <t>Segreteria telefonica</t>
  </si>
  <si>
    <t>Gabriele Battisti</t>
  </si>
  <si>
    <t>Davide Codispoti</t>
  </si>
  <si>
    <t>Matteo Giunta</t>
  </si>
  <si>
    <t>M'illumino d'immenso</t>
  </si>
  <si>
    <t>Davide Guarino</t>
  </si>
  <si>
    <t>Dario Innocenzi</t>
  </si>
  <si>
    <t>Carlo Iurato</t>
  </si>
  <si>
    <t>Alessio Ivanov</t>
  </si>
  <si>
    <t>Edoardo Monetti</t>
  </si>
  <si>
    <t>Apprendista scugnizz</t>
  </si>
  <si>
    <t>Federico Rocchi</t>
  </si>
  <si>
    <t>Emanuele Straniero</t>
  </si>
  <si>
    <t>Alessio Torretta</t>
  </si>
  <si>
    <t>Francesco Venneri</t>
  </si>
  <si>
    <t>Giovanni Croppo</t>
  </si>
  <si>
    <t>Andrea Fresca</t>
  </si>
  <si>
    <t>Tamarindi FC</t>
  </si>
  <si>
    <t xml:space="preserve">     3-2</t>
  </si>
  <si>
    <t>Squadra 1 Torneo</t>
  </si>
  <si>
    <t>D'Ippolito</t>
  </si>
  <si>
    <t>Epifani (2)</t>
  </si>
  <si>
    <t xml:space="preserve">     3-0</t>
  </si>
  <si>
    <t>Squadra 2 Torneo</t>
  </si>
  <si>
    <t>Gioffredi</t>
  </si>
  <si>
    <t>Caron</t>
  </si>
  <si>
    <t>Onda Blu</t>
  </si>
  <si>
    <t xml:space="preserve">     8-1</t>
  </si>
  <si>
    <t>Emiliano</t>
  </si>
  <si>
    <t>Official DUMP</t>
  </si>
  <si>
    <t xml:space="preserve">    6-5</t>
  </si>
  <si>
    <t>Giovanni (2)</t>
  </si>
  <si>
    <t>Torretta A. (2)</t>
  </si>
  <si>
    <t>Botta</t>
  </si>
  <si>
    <t>Campionatone</t>
  </si>
  <si>
    <t xml:space="preserve">     1-2</t>
  </si>
  <si>
    <t>Blinders</t>
  </si>
  <si>
    <t xml:space="preserve">     0-1</t>
  </si>
  <si>
    <t>Alitalia</t>
  </si>
  <si>
    <t xml:space="preserve">     3-1</t>
  </si>
  <si>
    <t>Socrates</t>
  </si>
  <si>
    <t>D'Ippolito (3)</t>
  </si>
  <si>
    <t>Coddetta</t>
  </si>
  <si>
    <t xml:space="preserve">     2-2</t>
  </si>
  <si>
    <t>VP Portuense</t>
  </si>
  <si>
    <t xml:space="preserve">     1-3</t>
  </si>
  <si>
    <t>Torino</t>
  </si>
  <si>
    <t>Scocco [Y]</t>
  </si>
  <si>
    <t xml:space="preserve">     2-1</t>
  </si>
  <si>
    <t>Buca Juniors</t>
  </si>
  <si>
    <t>Cannizzaro</t>
  </si>
  <si>
    <t xml:space="preserve">    3-2</t>
  </si>
  <si>
    <t>San Camillo United</t>
  </si>
  <si>
    <t>Gioffredi (2)</t>
  </si>
  <si>
    <t>Core de Roma</t>
  </si>
  <si>
    <t>D'Ippolito (2)</t>
  </si>
  <si>
    <t xml:space="preserve">     2-0</t>
  </si>
  <si>
    <t>Road To</t>
  </si>
  <si>
    <t xml:space="preserve">     4-3</t>
  </si>
  <si>
    <t>Pavese</t>
  </si>
  <si>
    <t>Scocco</t>
  </si>
  <si>
    <t>Toroviola</t>
  </si>
  <si>
    <t>a tavolino</t>
  </si>
  <si>
    <t xml:space="preserve">     0-2</t>
  </si>
  <si>
    <t>Nova Virtus</t>
  </si>
  <si>
    <t xml:space="preserve">     7-2</t>
  </si>
  <si>
    <t>IGT</t>
  </si>
  <si>
    <t>D'Ippolito (4)</t>
  </si>
  <si>
    <t xml:space="preserve">     1-5</t>
  </si>
  <si>
    <t>Sporting Roma</t>
  </si>
  <si>
    <t xml:space="preserve">     1-6</t>
  </si>
  <si>
    <t>Birra Real</t>
  </si>
  <si>
    <t>Colella</t>
  </si>
  <si>
    <t>Girone di Ritorno</t>
  </si>
  <si>
    <t>Colella (2)</t>
  </si>
  <si>
    <t>Torretta [R parato]</t>
  </si>
  <si>
    <t xml:space="preserve">     2-3</t>
  </si>
  <si>
    <t xml:space="preserve">     3-4</t>
  </si>
  <si>
    <t>Birrareal</t>
  </si>
  <si>
    <t>Playoff</t>
  </si>
  <si>
    <t>Coppa Estiva</t>
  </si>
  <si>
    <t>Craft</t>
  </si>
  <si>
    <t>Family Matters</t>
  </si>
  <si>
    <t>Core De Roma</t>
  </si>
  <si>
    <t xml:space="preserve">     1-1</t>
  </si>
  <si>
    <t>San Buca Junior</t>
  </si>
  <si>
    <t>Giacomelli</t>
  </si>
  <si>
    <t>Coddetta [R]</t>
  </si>
  <si>
    <t>Colella [Y]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</si>
</sst>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</font>
    <font>
      <sz val="11"/>
      <color indexed="8"/>
      <name val="Bahnschrift Condensed"/>
    </font>
    <font>
      <sz val="11"/>
      <color indexed="8"/>
      <name val="Bahnschrift"/>
    </font>
  </fonts>
  <fills count="5">
    <fill>
      <patternFill patternType="none"/>
    </fill>
    <fill>
      <patternFill patternType="gray125"/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</fills>
  <borders count="11">
    <border>
      <left/>
      <right/>
      <top/>
      <bottom/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/>
      <diagonal/>
    </border>
    <border>
      <left style="thin">
        <color indexed="12"/>
      </left>
      <right/>
      <top/>
      <bottom/>
      <diagonal/>
    </border>
    <border>
      <left/>
      <right/>
      <top/>
      <bottom/>
      <diagonal/>
    </border>
    <border>
      <left/>
      <right style="thin">
        <color indexed="12"/>
      </right>
      <top/>
      <bottom/>
      <diagonal/>
    </border>
    <border>
      <left style="thin">
        <color indexed="12"/>
      </left>
      <right style="thin">
        <color indexed="12"/>
      </right>
      <top/>
      <bottom style="thin">
        <color indexed="12"/>
      </bottom>
      <diagonal/>
    </border>
    <border>
      <left/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/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/>
      <bottom/>
      <diagonal/>
    </border>
    <border>
      <left/>
      <right/>
      <top/>
      <bottom style="thin">
        <color indexed="12"/>
      </bottom>
      <diagonal/>
    </border>
  </borders>
  <cellStyleXfs count="1">
    <xf numFmtId="0" fontId="0" fillId="0" borderId="0" applyNumberFormat="0" applyFill="0" applyBorder="0" applyProtection="0"/>
  </cellStyleXfs>
  <cellXfs count="35">
    <xf numFmtId="0" fontId="0" fillId="0" borderId="0" xfId="0"/>
    <xf numFmtId="0" fontId="0" fillId="0" borderId="0" xfId="0" applyNumberFormat="1"/>
    <xf numFmtId="49" fontId="1" fillId="0" borderId="1" xfId="0" applyNumberFormat="1" applyFont="1" applyBorder="1"/>
    <xf numFmtId="0" fontId="1" fillId="0" borderId="1" xfId="0" applyFont="1" applyBorder="1"/>
    <xf numFmtId="0" fontId="1" fillId="0" borderId="1" xfId="0" applyFont="1" applyBorder="1" applyAlignment="1">
      <alignment horizontal="left"/>
    </xf>
    <xf numFmtId="49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0" fillId="0" borderId="1" xfId="0" applyBorder="1"/>
    <xf numFmtId="49" fontId="2" fillId="0" borderId="1" xfId="0" applyNumberFormat="1" applyFont="1" applyBorder="1"/>
    <xf numFmtId="0" fontId="2" fillId="0" borderId="1" xfId="0" applyNumberFormat="1" applyFont="1" applyBorder="1"/>
    <xf numFmtId="0" fontId="2" fillId="0" borderId="2" xfId="0" applyFont="1" applyBorder="1"/>
    <xf numFmtId="0" fontId="0" fillId="0" borderId="2" xfId="0" applyBorder="1"/>
    <xf numFmtId="49" fontId="2" fillId="2" borderId="3" xfId="0" applyNumberFormat="1" applyFont="1" applyFill="1" applyBorder="1"/>
    <xf numFmtId="0" fontId="2" fillId="2" borderId="4" xfId="0" applyFont="1" applyFill="1" applyBorder="1"/>
    <xf numFmtId="0" fontId="2" fillId="2" borderId="4" xfId="0" applyNumberFormat="1" applyFont="1" applyFill="1" applyBorder="1"/>
    <xf numFmtId="49" fontId="2" fillId="2" borderId="4" xfId="0" applyNumberFormat="1" applyFont="1" applyFill="1" applyBorder="1"/>
    <xf numFmtId="0" fontId="0" fillId="2" borderId="4" xfId="0" applyFill="1" applyBorder="1"/>
    <xf numFmtId="0" fontId="0" fillId="2" borderId="5" xfId="0" applyFill="1" applyBorder="1"/>
    <xf numFmtId="0" fontId="2" fillId="0" borderId="6" xfId="0" applyFont="1" applyBorder="1"/>
    <xf numFmtId="0" fontId="0" fillId="0" borderId="6" xfId="0" applyBorder="1"/>
    <xf numFmtId="49" fontId="2" fillId="3" borderId="3" xfId="0" applyNumberFormat="1" applyFont="1" applyFill="1" applyBorder="1"/>
    <xf numFmtId="0" fontId="2" fillId="0" borderId="7" xfId="0" applyFont="1" applyBorder="1"/>
    <xf numFmtId="14" fontId="2" fillId="0" borderId="1" xfId="0" applyNumberFormat="1" applyFont="1" applyBorder="1"/>
    <xf numFmtId="0" fontId="2" fillId="0" borderId="8" xfId="0" applyFont="1" applyBorder="1"/>
    <xf numFmtId="49" fontId="2" fillId="0" borderId="7" xfId="0" applyNumberFormat="1" applyFont="1" applyBorder="1" applyAlignment="1">
      <alignment horizontal="left"/>
    </xf>
    <xf numFmtId="0" fontId="2" fillId="0" borderId="9" xfId="0" applyFont="1" applyBorder="1"/>
    <xf numFmtId="49" fontId="2" fillId="0" borderId="7" xfId="0" applyNumberFormat="1" applyFont="1" applyBorder="1"/>
    <xf numFmtId="49" fontId="2" fillId="0" borderId="8" xfId="0" applyNumberFormat="1" applyFont="1" applyBorder="1"/>
    <xf numFmtId="0" fontId="2" fillId="3" borderId="4" xfId="0" applyFont="1" applyFill="1" applyBorder="1"/>
    <xf numFmtId="49" fontId="2" fillId="4" borderId="4" xfId="0" applyNumberFormat="1" applyFont="1" applyFill="1" applyBorder="1"/>
    <xf numFmtId="49" fontId="2" fillId="3" borderId="4" xfId="0" applyNumberFormat="1" applyFont="1" applyFill="1" applyBorder="1"/>
    <xf numFmtId="49" fontId="2" fillId="2" borderId="10" xfId="0" applyNumberFormat="1" applyFont="1" applyFill="1" applyBorder="1"/>
    <xf numFmtId="0" fontId="2" fillId="2" borderId="10" xfId="0" applyFont="1" applyFill="1" applyBorder="1"/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5E88B1"/>
      <rgbColor rgb="FFEEF3F4"/>
      <rgbColor rgb="FF0000FF"/>
      <rgbColor rgb="FFAAAAAA"/>
      <rgbColor rgb="FFE5DFEC"/>
      <rgbColor rgb="FFFFFF00"/>
      <rgbColor rgb="FFFF0000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Tema di 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Tema di 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Tema di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0000" dir="5400000" rotWithShape="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167"/>
  <sheetViews>
    <sheetView showGridLines="0" tabSelected="1" topLeftCell="A105" workbookViewId="0">
      <selection activeCell="C134" sqref="C134"/>
    </sheetView>
  </sheetViews>
  <sheetFormatPr baseColWidth="10" defaultColWidth="8.83203125" defaultRowHeight="14.5" customHeight="1" x14ac:dyDescent="0.2"/>
  <cols>
    <col min="1" max="1" width="11.1640625" style="1" customWidth="1"/>
    <col min="2" max="31" width="8.83203125" style="1" customWidth="1"/>
    <col min="32" max="16384" width="8.83203125" style="1"/>
  </cols>
  <sheetData>
    <row r="1" spans="1:30" ht="16" customHeight="1" x14ac:dyDescent="0.2">
      <c r="A1" s="2" t="s">
        <v>0</v>
      </c>
      <c r="B1" s="3"/>
      <c r="C1" s="3"/>
      <c r="D1" s="2" t="s">
        <v>1</v>
      </c>
      <c r="E1" s="3"/>
      <c r="F1" s="4"/>
      <c r="G1" s="5" t="s">
        <v>2</v>
      </c>
      <c r="H1" s="4"/>
      <c r="I1" s="3"/>
      <c r="J1" s="3"/>
      <c r="K1" s="6"/>
      <c r="L1" s="5" t="s">
        <v>3</v>
      </c>
      <c r="M1" s="3"/>
      <c r="N1" s="3"/>
      <c r="O1" s="3"/>
      <c r="P1" s="3"/>
      <c r="Q1" s="3"/>
      <c r="R1" s="2" t="s">
        <v>4</v>
      </c>
      <c r="S1" s="3"/>
      <c r="T1" s="3"/>
      <c r="U1" s="3"/>
      <c r="V1" s="2" t="s">
        <v>5</v>
      </c>
      <c r="W1" s="3"/>
      <c r="X1" s="3"/>
      <c r="Y1" s="2" t="s">
        <v>6</v>
      </c>
      <c r="Z1" s="3"/>
      <c r="AA1" s="2" t="s">
        <v>7</v>
      </c>
      <c r="AB1" s="3"/>
      <c r="AC1" s="3"/>
      <c r="AD1" s="3"/>
    </row>
    <row r="2" spans="1:30" ht="16" customHeight="1" x14ac:dyDescent="0.2">
      <c r="A2" s="3"/>
      <c r="B2" s="3"/>
      <c r="C2" s="3"/>
      <c r="D2" s="3"/>
      <c r="E2" s="3"/>
      <c r="F2" s="5" t="s">
        <v>8</v>
      </c>
      <c r="G2" s="5" t="s">
        <v>9</v>
      </c>
      <c r="H2" s="5" t="s">
        <v>10</v>
      </c>
      <c r="I2" s="3"/>
      <c r="J2" s="5" t="s">
        <v>11</v>
      </c>
      <c r="K2" s="5" t="s">
        <v>8</v>
      </c>
      <c r="L2" s="5" t="s">
        <v>9</v>
      </c>
      <c r="M2" s="5" t="s">
        <v>12</v>
      </c>
      <c r="N2" s="5" t="s">
        <v>10</v>
      </c>
      <c r="O2" s="6"/>
      <c r="P2" s="5" t="s">
        <v>11</v>
      </c>
      <c r="Q2" s="5" t="s">
        <v>8</v>
      </c>
      <c r="R2" s="5" t="s">
        <v>9</v>
      </c>
      <c r="S2" s="5" t="s">
        <v>12</v>
      </c>
      <c r="T2" s="5" t="s">
        <v>10</v>
      </c>
      <c r="U2" s="3"/>
      <c r="V2" s="2" t="s">
        <v>13</v>
      </c>
      <c r="W2" s="2" t="s">
        <v>14</v>
      </c>
      <c r="X2" s="3"/>
      <c r="Y2" s="3"/>
      <c r="Z2" s="3"/>
      <c r="AA2" s="3"/>
      <c r="AB2" s="3"/>
      <c r="AC2" s="3"/>
      <c r="AD2" s="3"/>
    </row>
    <row r="3" spans="1:30" ht="16" customHeight="1" x14ac:dyDescent="0.2">
      <c r="A3" s="7"/>
      <c r="B3" s="7"/>
      <c r="C3" s="7"/>
      <c r="D3" s="7"/>
      <c r="E3" s="7"/>
      <c r="F3" s="7"/>
      <c r="G3" s="8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9"/>
      <c r="AD3" s="9"/>
    </row>
    <row r="4" spans="1:30" ht="16" customHeight="1" x14ac:dyDescent="0.2">
      <c r="A4" s="10" t="s">
        <v>15</v>
      </c>
      <c r="B4" s="7"/>
      <c r="C4" s="7"/>
      <c r="D4" s="11">
        <v>1</v>
      </c>
      <c r="E4" s="7"/>
      <c r="F4" s="11">
        <v>3</v>
      </c>
      <c r="G4" s="11">
        <v>23</v>
      </c>
      <c r="H4" s="11" cm="1">
        <f t="array" ref="H4">SUM(F4:G4)</f>
        <v>26</v>
      </c>
      <c r="I4" s="7"/>
      <c r="J4" s="7"/>
      <c r="K4" s="7"/>
      <c r="L4" s="7"/>
      <c r="M4" s="11" cm="1">
        <f t="array" ref="M4">SUM(K4:L4)</f>
        <v>0</v>
      </c>
      <c r="N4" s="11" cm="1">
        <f t="array" ref="N4">SUM(J4,M4)</f>
        <v>0</v>
      </c>
      <c r="O4" s="7"/>
      <c r="P4" s="11">
        <v>1</v>
      </c>
      <c r="Q4" s="7"/>
      <c r="R4" s="7"/>
      <c r="S4" s="11" cm="1">
        <f t="array" ref="S4">SUM(Q4,R4)</f>
        <v>0</v>
      </c>
      <c r="T4" s="11" cm="1">
        <f t="array" ref="T4">SUM(P4,S4)</f>
        <v>1</v>
      </c>
      <c r="U4" s="7"/>
      <c r="V4" s="7"/>
      <c r="W4" s="7"/>
      <c r="X4" s="7"/>
      <c r="Y4" s="10" t="s">
        <v>16</v>
      </c>
      <c r="Z4" s="7"/>
      <c r="AA4" s="10" t="s">
        <v>17</v>
      </c>
      <c r="AB4" s="7"/>
      <c r="AC4" s="9"/>
      <c r="AD4" s="9"/>
    </row>
    <row r="5" spans="1:30" ht="16" customHeight="1" x14ac:dyDescent="0.2">
      <c r="A5" s="10" t="s">
        <v>18</v>
      </c>
      <c r="B5" s="7"/>
      <c r="C5" s="7"/>
      <c r="D5" s="11">
        <v>33</v>
      </c>
      <c r="E5" s="7"/>
      <c r="F5" s="11">
        <v>3</v>
      </c>
      <c r="G5" s="11">
        <v>26</v>
      </c>
      <c r="H5" s="11" cm="1">
        <f t="array" ref="H5">SUM(F5:G5)</f>
        <v>29</v>
      </c>
      <c r="I5" s="7"/>
      <c r="J5" s="11">
        <v>3</v>
      </c>
      <c r="K5" s="7"/>
      <c r="L5" s="11">
        <v>2</v>
      </c>
      <c r="M5" s="11" cm="1">
        <f t="array" ref="M5">SUM(K5,L5)</f>
        <v>2</v>
      </c>
      <c r="N5" s="11" cm="1">
        <f t="array" ref="N5">SUM(J5,M5)</f>
        <v>5</v>
      </c>
      <c r="O5" s="7"/>
      <c r="P5" s="11">
        <v>2</v>
      </c>
      <c r="Q5" s="7"/>
      <c r="R5" s="11">
        <v>1</v>
      </c>
      <c r="S5" s="11" cm="1">
        <f t="array" ref="S5">SUM(Q5,R5)</f>
        <v>1</v>
      </c>
      <c r="T5" s="11" cm="1">
        <f t="array" ref="T5">SUM(P5,S5)</f>
        <v>3</v>
      </c>
      <c r="U5" s="7"/>
      <c r="V5" s="11">
        <v>3</v>
      </c>
      <c r="W5" s="7"/>
      <c r="X5" s="7"/>
      <c r="Y5" s="10" t="s">
        <v>19</v>
      </c>
      <c r="Z5" s="7"/>
      <c r="AA5" s="10" t="s">
        <v>20</v>
      </c>
      <c r="AB5" s="7"/>
      <c r="AC5" s="9"/>
      <c r="AD5" s="9"/>
    </row>
    <row r="6" spans="1:30" ht="16" customHeight="1" x14ac:dyDescent="0.2">
      <c r="A6" s="10" t="s">
        <v>21</v>
      </c>
      <c r="B6" s="7"/>
      <c r="C6" s="7"/>
      <c r="D6" s="11">
        <v>5</v>
      </c>
      <c r="E6" s="7"/>
      <c r="F6" s="11">
        <v>4</v>
      </c>
      <c r="G6" s="11">
        <v>22</v>
      </c>
      <c r="H6" s="11" cm="1">
        <f t="array" ref="H6">SUM(F6:G6)</f>
        <v>26</v>
      </c>
      <c r="I6" s="7"/>
      <c r="J6" s="7"/>
      <c r="K6" s="7"/>
      <c r="L6" s="7"/>
      <c r="M6" s="11" cm="1">
        <f t="array" ref="M6">SUM(K6:L6)</f>
        <v>0</v>
      </c>
      <c r="N6" s="11" cm="1">
        <f t="array" ref="N6">SUM(J6,M6)</f>
        <v>0</v>
      </c>
      <c r="O6" s="7"/>
      <c r="P6" s="11">
        <v>1</v>
      </c>
      <c r="Q6" s="7"/>
      <c r="R6" s="7"/>
      <c r="S6" s="11" cm="1">
        <f t="array" ref="S6">SUM(Q6,R6)</f>
        <v>0</v>
      </c>
      <c r="T6" s="11" cm="1">
        <f t="array" ref="T6">SUM(P6,S6)</f>
        <v>1</v>
      </c>
      <c r="U6" s="7"/>
      <c r="V6" s="7"/>
      <c r="W6" s="7"/>
      <c r="X6" s="7"/>
      <c r="Y6" s="10" t="s">
        <v>22</v>
      </c>
      <c r="Z6" s="7"/>
      <c r="AA6" s="10" t="s">
        <v>23</v>
      </c>
      <c r="AB6" s="7"/>
      <c r="AC6" s="9"/>
      <c r="AD6" s="9"/>
    </row>
    <row r="7" spans="1:30" ht="16" customHeight="1" x14ac:dyDescent="0.2">
      <c r="A7" s="10" t="s">
        <v>24</v>
      </c>
      <c r="B7" s="7"/>
      <c r="C7" s="7"/>
      <c r="D7" s="11">
        <v>3</v>
      </c>
      <c r="E7" s="7"/>
      <c r="F7" s="11">
        <v>2</v>
      </c>
      <c r="G7" s="11">
        <v>24</v>
      </c>
      <c r="H7" s="11" cm="1">
        <f t="array" ref="H7">SUM(F7:G7)</f>
        <v>26</v>
      </c>
      <c r="I7" s="7"/>
      <c r="J7" s="11">
        <v>1</v>
      </c>
      <c r="K7" s="7"/>
      <c r="L7" s="7"/>
      <c r="M7" s="11" cm="1">
        <f t="array" ref="M7">SUM(K7,L7)</f>
        <v>0</v>
      </c>
      <c r="N7" s="11" cm="1">
        <f t="array" ref="N7">SUM(J7,M7)</f>
        <v>1</v>
      </c>
      <c r="O7" s="7"/>
      <c r="P7" s="7"/>
      <c r="Q7" s="7"/>
      <c r="R7" s="7"/>
      <c r="S7" s="11" cm="1">
        <f t="array" ref="S7">SUM(Q7,R7)</f>
        <v>0</v>
      </c>
      <c r="T7" s="11" cm="1">
        <f t="array" ref="T7">SUM(P7,S7)</f>
        <v>0</v>
      </c>
      <c r="U7" s="7"/>
      <c r="V7" s="7"/>
      <c r="W7" s="7"/>
      <c r="X7" s="7"/>
      <c r="Y7" s="10" t="s">
        <v>25</v>
      </c>
      <c r="Z7" s="7"/>
      <c r="AA7" s="10" t="s">
        <v>26</v>
      </c>
      <c r="AB7" s="7"/>
      <c r="AC7" s="9"/>
      <c r="AD7" s="9"/>
    </row>
    <row r="8" spans="1:30" ht="16" customHeight="1" x14ac:dyDescent="0.2">
      <c r="A8" s="10" t="s">
        <v>27</v>
      </c>
      <c r="B8" s="7"/>
      <c r="C8" s="7"/>
      <c r="D8" s="11">
        <v>15</v>
      </c>
      <c r="E8" s="7"/>
      <c r="F8" s="11">
        <v>3</v>
      </c>
      <c r="G8" s="11">
        <v>23</v>
      </c>
      <c r="H8" s="11" cm="1">
        <f t="array" ref="H8">SUM(F8:G8)</f>
        <v>26</v>
      </c>
      <c r="I8" s="7"/>
      <c r="J8" s="7"/>
      <c r="K8" s="7"/>
      <c r="L8" s="7"/>
      <c r="M8" s="11" cm="1">
        <f t="array" ref="M8">SUM(K8,L8)</f>
        <v>0</v>
      </c>
      <c r="N8" s="11" cm="1">
        <f t="array" ref="N8">SUM(J8,M8)</f>
        <v>0</v>
      </c>
      <c r="O8" s="7"/>
      <c r="P8" s="11">
        <v>4</v>
      </c>
      <c r="Q8" s="7"/>
      <c r="R8" s="11">
        <v>4</v>
      </c>
      <c r="S8" s="11" cm="1">
        <f t="array" ref="S8">SUM(Q8,R8)</f>
        <v>4</v>
      </c>
      <c r="T8" s="11" cm="1">
        <f t="array" ref="T8">SUM(P8,S8)</f>
        <v>8</v>
      </c>
      <c r="U8" s="7"/>
      <c r="V8" s="7"/>
      <c r="W8" s="7"/>
      <c r="X8" s="7"/>
      <c r="Y8" s="10" t="s">
        <v>28</v>
      </c>
      <c r="Z8" s="7"/>
      <c r="AA8" s="7"/>
      <c r="AB8" s="7"/>
      <c r="AC8" s="9"/>
      <c r="AD8" s="9"/>
    </row>
    <row r="9" spans="1:30" ht="16" customHeight="1" x14ac:dyDescent="0.2">
      <c r="A9" s="10" t="s">
        <v>29</v>
      </c>
      <c r="B9" s="7"/>
      <c r="C9" s="7"/>
      <c r="D9" s="11">
        <v>11</v>
      </c>
      <c r="E9" s="7"/>
      <c r="F9" s="11">
        <v>2</v>
      </c>
      <c r="G9" s="11">
        <v>12</v>
      </c>
      <c r="H9" s="11" cm="1">
        <f t="array" ref="H9">SUM(F9:G9)</f>
        <v>14</v>
      </c>
      <c r="I9" s="7"/>
      <c r="J9" s="11">
        <v>8</v>
      </c>
      <c r="K9" s="7"/>
      <c r="L9" s="11">
        <v>1</v>
      </c>
      <c r="M9" s="11" cm="1">
        <f t="array" ref="M9">SUM(K9:L9)</f>
        <v>1</v>
      </c>
      <c r="N9" s="11" cm="1">
        <f t="array" ref="N9">SUM(J9,M9)</f>
        <v>9</v>
      </c>
      <c r="O9" s="7"/>
      <c r="P9" s="11">
        <v>4</v>
      </c>
      <c r="Q9" s="7"/>
      <c r="R9" s="11">
        <v>1</v>
      </c>
      <c r="S9" s="11" cm="1">
        <f t="array" ref="S9">SUM(Q9,R9)</f>
        <v>1</v>
      </c>
      <c r="T9" s="11" cm="1">
        <f t="array" ref="T9">SUM(P9,S9)</f>
        <v>5</v>
      </c>
      <c r="U9" s="7"/>
      <c r="V9" s="7"/>
      <c r="W9" s="11">
        <v>1</v>
      </c>
      <c r="X9" s="7"/>
      <c r="Y9" s="10" t="s">
        <v>30</v>
      </c>
      <c r="Z9" s="7"/>
      <c r="AA9" s="10" t="s">
        <v>31</v>
      </c>
      <c r="AB9" s="7"/>
      <c r="AC9" s="9"/>
      <c r="AD9" s="9"/>
    </row>
    <row r="10" spans="1:30" ht="16" customHeight="1" x14ac:dyDescent="0.2">
      <c r="A10" s="10" t="s">
        <v>32</v>
      </c>
      <c r="B10" s="7"/>
      <c r="C10" s="7"/>
      <c r="D10" s="11">
        <v>13</v>
      </c>
      <c r="E10" s="7"/>
      <c r="F10" s="11">
        <v>1</v>
      </c>
      <c r="G10" s="11">
        <v>10</v>
      </c>
      <c r="H10" s="11" cm="1">
        <f t="array" ref="H10">SUM(F10,G10)</f>
        <v>11</v>
      </c>
      <c r="I10" s="7"/>
      <c r="J10" s="7"/>
      <c r="K10" s="7"/>
      <c r="L10" s="11">
        <v>3</v>
      </c>
      <c r="M10" s="11" cm="1">
        <f t="array" ref="M10">SUM(K10,L10)</f>
        <v>3</v>
      </c>
      <c r="N10" s="11" cm="1">
        <f t="array" ref="N10">SUM(J10,M10)</f>
        <v>3</v>
      </c>
      <c r="O10" s="7"/>
      <c r="P10" s="7"/>
      <c r="Q10" s="7"/>
      <c r="R10" s="11">
        <v>2</v>
      </c>
      <c r="S10" s="11" cm="1">
        <f t="array" ref="S10">SUM(Q10,R10)</f>
        <v>2</v>
      </c>
      <c r="T10" s="11" cm="1">
        <f t="array" ref="T10">SUM(P10,S10)</f>
        <v>2</v>
      </c>
      <c r="U10" s="7"/>
      <c r="V10" s="7"/>
      <c r="W10" s="7"/>
      <c r="X10" s="7"/>
      <c r="Y10" s="7"/>
      <c r="Z10" s="7"/>
      <c r="AA10" s="7"/>
      <c r="AB10" s="7"/>
      <c r="AC10" s="9"/>
      <c r="AD10" s="9"/>
    </row>
    <row r="11" spans="1:30" ht="16" customHeight="1" x14ac:dyDescent="0.2">
      <c r="A11" s="10" t="s">
        <v>33</v>
      </c>
      <c r="B11" s="7"/>
      <c r="C11" s="7"/>
      <c r="D11" s="11">
        <v>8</v>
      </c>
      <c r="E11" s="7"/>
      <c r="F11" s="11">
        <v>4</v>
      </c>
      <c r="G11" s="11">
        <v>25</v>
      </c>
      <c r="H11" s="11" cm="1">
        <f t="array" ref="H11">SUM(F11:G11)</f>
        <v>29</v>
      </c>
      <c r="I11" s="7"/>
      <c r="J11" s="11">
        <v>16</v>
      </c>
      <c r="K11" s="11">
        <v>1</v>
      </c>
      <c r="L11" s="11">
        <v>8</v>
      </c>
      <c r="M11" s="11" cm="1">
        <f t="array" ref="M11">SUM(K11:L11)</f>
        <v>9</v>
      </c>
      <c r="N11" s="11" cm="1">
        <f t="array" ref="N11">SUM(J11,M11)</f>
        <v>25</v>
      </c>
      <c r="O11" s="7"/>
      <c r="P11" s="11">
        <v>8</v>
      </c>
      <c r="Q11" s="11">
        <v>3</v>
      </c>
      <c r="R11" s="11">
        <v>4</v>
      </c>
      <c r="S11" s="11" cm="1">
        <f t="array" ref="S11">SUM(Q11,R11)</f>
        <v>7</v>
      </c>
      <c r="T11" s="11" cm="1">
        <f t="array" ref="T11">SUM(P11,S11)</f>
        <v>15</v>
      </c>
      <c r="U11" s="7"/>
      <c r="V11" s="7"/>
      <c r="W11" s="7"/>
      <c r="X11" s="7"/>
      <c r="Y11" s="10" t="s">
        <v>34</v>
      </c>
      <c r="Z11" s="7"/>
      <c r="AA11" s="10" t="s">
        <v>35</v>
      </c>
      <c r="AB11" s="7"/>
      <c r="AC11" s="9"/>
      <c r="AD11" s="9"/>
    </row>
    <row r="12" spans="1:30" ht="16" customHeight="1" x14ac:dyDescent="0.2">
      <c r="A12" s="10" t="s">
        <v>36</v>
      </c>
      <c r="B12" s="7"/>
      <c r="C12" s="7"/>
      <c r="D12" s="11">
        <v>22</v>
      </c>
      <c r="E12" s="7"/>
      <c r="F12" s="11">
        <v>3</v>
      </c>
      <c r="G12" s="11">
        <v>25</v>
      </c>
      <c r="H12" s="11" cm="1">
        <f t="array" ref="H12">SUM(F12:G12)</f>
        <v>28</v>
      </c>
      <c r="I12" s="7"/>
      <c r="J12" s="11">
        <v>8</v>
      </c>
      <c r="K12" s="11">
        <v>1</v>
      </c>
      <c r="L12" s="11">
        <v>3</v>
      </c>
      <c r="M12" s="11" cm="1">
        <f t="array" ref="M12">SUM(K12:L12)</f>
        <v>4</v>
      </c>
      <c r="N12" s="11" cm="1">
        <f t="array" ref="N12">SUM(J12,M12)</f>
        <v>12</v>
      </c>
      <c r="O12" s="7"/>
      <c r="P12" s="11">
        <v>5</v>
      </c>
      <c r="Q12" s="7"/>
      <c r="R12" s="11">
        <v>8</v>
      </c>
      <c r="S12" s="11" cm="1">
        <f t="array" ref="S12">SUM(Q12,R12)</f>
        <v>8</v>
      </c>
      <c r="T12" s="11" cm="1">
        <f t="array" ref="T12">SUM(P12,S12)</f>
        <v>13</v>
      </c>
      <c r="U12" s="7"/>
      <c r="V12" s="7"/>
      <c r="W12" s="7"/>
      <c r="X12" s="7"/>
      <c r="Y12" s="10" t="s">
        <v>37</v>
      </c>
      <c r="Z12" s="7"/>
      <c r="AA12" s="10" t="s">
        <v>38</v>
      </c>
      <c r="AB12" s="7"/>
      <c r="AC12" s="9"/>
      <c r="AD12" s="9"/>
    </row>
    <row r="13" spans="1:30" ht="16" customHeight="1" x14ac:dyDescent="0.2">
      <c r="A13" s="10" t="s">
        <v>39</v>
      </c>
      <c r="B13" s="7"/>
      <c r="C13" s="7"/>
      <c r="D13" s="11">
        <v>19</v>
      </c>
      <c r="E13" s="7"/>
      <c r="F13" s="11">
        <v>3</v>
      </c>
      <c r="G13" s="11">
        <v>26</v>
      </c>
      <c r="H13" s="11" cm="1">
        <f t="array" ref="H13">SUM(F13,G13)</f>
        <v>29</v>
      </c>
      <c r="I13" s="7"/>
      <c r="J13" s="7"/>
      <c r="K13" s="11">
        <v>2</v>
      </c>
      <c r="L13" s="11">
        <v>23</v>
      </c>
      <c r="M13" s="11" cm="1">
        <f t="array" ref="M13">SUM(K13,L13)</f>
        <v>25</v>
      </c>
      <c r="N13" s="11" cm="1">
        <f t="array" ref="N13">SUM(J13,M13)</f>
        <v>25</v>
      </c>
      <c r="O13" s="7"/>
      <c r="P13" s="7"/>
      <c r="Q13" s="7"/>
      <c r="R13" s="11">
        <v>5</v>
      </c>
      <c r="S13" s="11" cm="1">
        <f t="array" ref="S13">SUM(Q13,R13)</f>
        <v>5</v>
      </c>
      <c r="T13" s="11" cm="1">
        <f t="array" ref="T13">SUM(P13,S13)</f>
        <v>5</v>
      </c>
      <c r="U13" s="7"/>
      <c r="V13" s="7"/>
      <c r="W13" s="7"/>
      <c r="X13" s="7"/>
      <c r="Y13" s="10" t="s">
        <v>40</v>
      </c>
      <c r="Z13" s="7"/>
      <c r="AA13" s="7"/>
      <c r="AB13" s="7"/>
      <c r="AC13" s="9"/>
      <c r="AD13" s="9"/>
    </row>
    <row r="14" spans="1:30" ht="16" customHeight="1" x14ac:dyDescent="0.2">
      <c r="A14" s="10" t="s">
        <v>41</v>
      </c>
      <c r="B14" s="7"/>
      <c r="C14" s="7"/>
      <c r="D14" s="11">
        <v>28</v>
      </c>
      <c r="E14" s="7"/>
      <c r="F14" s="11">
        <v>2</v>
      </c>
      <c r="G14" s="11">
        <v>1</v>
      </c>
      <c r="H14" s="11" cm="1">
        <f t="array" ref="H14">SUM(F14:G14)</f>
        <v>3</v>
      </c>
      <c r="I14" s="7"/>
      <c r="J14" s="11">
        <v>8</v>
      </c>
      <c r="K14" s="11">
        <v>2</v>
      </c>
      <c r="L14" s="7"/>
      <c r="M14" s="11" cm="1">
        <f t="array" ref="M14">SUM(K14,L14)</f>
        <v>2</v>
      </c>
      <c r="N14" s="11" cm="1">
        <f t="array" ref="N14">SUM(M14,J14)</f>
        <v>10</v>
      </c>
      <c r="O14" s="7"/>
      <c r="P14" s="11">
        <v>2</v>
      </c>
      <c r="Q14" s="7"/>
      <c r="R14" s="7"/>
      <c r="S14" s="11" cm="1">
        <f t="array" ref="S14">SUM(Q14,R14)</f>
        <v>0</v>
      </c>
      <c r="T14" s="11" cm="1">
        <f t="array" ref="T14">SUM(P14,S14)</f>
        <v>2</v>
      </c>
      <c r="U14" s="7"/>
      <c r="V14" s="7"/>
      <c r="W14" s="7"/>
      <c r="X14" s="7"/>
      <c r="Y14" s="10" t="s">
        <v>42</v>
      </c>
      <c r="Z14" s="7"/>
      <c r="AA14" s="7"/>
      <c r="AB14" s="7"/>
      <c r="AC14" s="9"/>
      <c r="AD14" s="9"/>
    </row>
    <row r="15" spans="1:30" ht="16" customHeight="1" x14ac:dyDescent="0.2">
      <c r="A15" s="10" t="s">
        <v>43</v>
      </c>
      <c r="B15" s="7"/>
      <c r="C15" s="7"/>
      <c r="D15" s="11">
        <v>31</v>
      </c>
      <c r="E15" s="7"/>
      <c r="F15" s="11">
        <v>1</v>
      </c>
      <c r="G15" s="11">
        <v>14</v>
      </c>
      <c r="H15" s="11" cm="1">
        <f t="array" ref="H15">SUM(F15:G15)</f>
        <v>15</v>
      </c>
      <c r="I15" s="7"/>
      <c r="J15" s="11">
        <v>6</v>
      </c>
      <c r="K15" s="11">
        <v>1</v>
      </c>
      <c r="L15" s="11">
        <v>1</v>
      </c>
      <c r="M15" s="11" cm="1">
        <f t="array" ref="M15">SUM(K15:L15)</f>
        <v>2</v>
      </c>
      <c r="N15" s="11" cm="1">
        <f t="array" ref="N15">SUM(J15,M15)</f>
        <v>8</v>
      </c>
      <c r="O15" s="7"/>
      <c r="P15" s="7"/>
      <c r="Q15" s="7"/>
      <c r="R15" s="11">
        <v>5</v>
      </c>
      <c r="S15" s="11" cm="1">
        <f t="array" ref="S15">SUM(Q15,R15)</f>
        <v>5</v>
      </c>
      <c r="T15" s="11" cm="1">
        <f t="array" ref="T15">SUM(P15,S15)</f>
        <v>5</v>
      </c>
      <c r="U15" s="7"/>
      <c r="V15" s="7"/>
      <c r="W15" s="7"/>
      <c r="X15" s="7"/>
      <c r="Y15" s="7"/>
      <c r="Z15" s="7"/>
      <c r="AA15" s="10" t="s">
        <v>44</v>
      </c>
      <c r="AB15" s="7"/>
      <c r="AC15" s="9"/>
      <c r="AD15" s="9"/>
    </row>
    <row r="16" spans="1:30" ht="16" customHeight="1" x14ac:dyDescent="0.2">
      <c r="A16" s="10" t="s">
        <v>45</v>
      </c>
      <c r="B16" s="7"/>
      <c r="C16" s="7"/>
      <c r="D16" s="11">
        <v>10</v>
      </c>
      <c r="E16" s="7"/>
      <c r="F16" s="11">
        <v>3</v>
      </c>
      <c r="G16" s="11">
        <v>17</v>
      </c>
      <c r="H16" s="11" cm="1">
        <f t="array" ref="H16">SUM(F16:G16)</f>
        <v>20</v>
      </c>
      <c r="I16" s="7"/>
      <c r="J16" s="11">
        <v>3</v>
      </c>
      <c r="K16" s="7"/>
      <c r="L16" s="11">
        <v>4</v>
      </c>
      <c r="M16" s="11" cm="1">
        <f t="array" ref="M16">SUM(K16:L16)</f>
        <v>4</v>
      </c>
      <c r="N16" s="11" cm="1">
        <f t="array" ref="N16">SUM(J16,M16)</f>
        <v>7</v>
      </c>
      <c r="O16" s="7"/>
      <c r="P16" s="11">
        <v>1</v>
      </c>
      <c r="Q16" s="7"/>
      <c r="R16" s="11">
        <v>1</v>
      </c>
      <c r="S16" s="11" cm="1">
        <f t="array" ref="S16">SUM(Q16,R16)</f>
        <v>1</v>
      </c>
      <c r="T16" s="11" cm="1">
        <f t="array" ref="T16">SUM(P16,S16)</f>
        <v>2</v>
      </c>
      <c r="U16" s="7"/>
      <c r="V16" s="11">
        <v>1</v>
      </c>
      <c r="W16" s="7"/>
      <c r="X16" s="7"/>
      <c r="Y16" s="10" t="s">
        <v>42</v>
      </c>
      <c r="Z16" s="7"/>
      <c r="AA16" s="10" t="s">
        <v>46</v>
      </c>
      <c r="AB16" s="7"/>
      <c r="AC16" s="9"/>
      <c r="AD16" s="9"/>
    </row>
    <row r="17" spans="1:30" ht="16" customHeight="1" x14ac:dyDescent="0.2">
      <c r="A17" s="10" t="s">
        <v>47</v>
      </c>
      <c r="B17" s="7"/>
      <c r="C17" s="7"/>
      <c r="D17" s="11">
        <v>32</v>
      </c>
      <c r="E17" s="7"/>
      <c r="F17" s="7"/>
      <c r="G17" s="11">
        <v>3</v>
      </c>
      <c r="H17" s="11" cm="1">
        <f t="array" ref="H17">SUM(F17,G17)</f>
        <v>3</v>
      </c>
      <c r="I17" s="7"/>
      <c r="J17" s="11">
        <v>13</v>
      </c>
      <c r="K17" s="7"/>
      <c r="L17" s="11">
        <v>1</v>
      </c>
      <c r="M17" s="11" cm="1">
        <f t="array" ref="M17">SUM(K17,L17)</f>
        <v>1</v>
      </c>
      <c r="N17" s="11" cm="1">
        <f t="array" ref="N17">SUM(M17,J17)</f>
        <v>14</v>
      </c>
      <c r="O17" s="7"/>
      <c r="P17" s="11">
        <v>4</v>
      </c>
      <c r="Q17" s="7"/>
      <c r="R17" s="7"/>
      <c r="S17" s="11" cm="1">
        <f t="array" ref="S17">SUM(Q17,R17)</f>
        <v>0</v>
      </c>
      <c r="T17" s="11" cm="1">
        <f t="array" ref="T17">SUM(P17,S17)</f>
        <v>4</v>
      </c>
      <c r="U17" s="7"/>
      <c r="V17" s="7"/>
      <c r="W17" s="7"/>
      <c r="X17" s="7"/>
      <c r="Y17" s="7"/>
      <c r="Z17" s="7"/>
      <c r="AA17" s="7"/>
      <c r="AB17" s="7"/>
      <c r="AC17" s="9"/>
      <c r="AD17" s="9"/>
    </row>
    <row r="18" spans="1:30" ht="16" customHeight="1" x14ac:dyDescent="0.2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3"/>
      <c r="AD18" s="13"/>
    </row>
    <row r="19" spans="1:30" ht="16" customHeight="1" x14ac:dyDescent="0.2">
      <c r="A19" s="14" t="s">
        <v>48</v>
      </c>
      <c r="B19" s="15"/>
      <c r="C19" s="15"/>
      <c r="D19" s="16">
        <v>44</v>
      </c>
      <c r="E19" s="15"/>
      <c r="F19" s="16">
        <v>1</v>
      </c>
      <c r="G19" s="15"/>
      <c r="H19" s="16" cm="1">
        <f t="array" ref="H19">SUM(F19:G19)</f>
        <v>1</v>
      </c>
      <c r="I19" s="15"/>
      <c r="J19" s="16">
        <v>24</v>
      </c>
      <c r="K19" s="15"/>
      <c r="L19" s="15"/>
      <c r="M19" s="16" cm="1">
        <f t="array" ref="M19">SUM(K19,L19)</f>
        <v>0</v>
      </c>
      <c r="N19" s="16" cm="1">
        <f t="array" ref="N19">SUM(J19,M19)</f>
        <v>24</v>
      </c>
      <c r="O19" s="15"/>
      <c r="P19" s="16">
        <v>3</v>
      </c>
      <c r="Q19" s="15"/>
      <c r="R19" s="15"/>
      <c r="S19" s="16" cm="1">
        <f t="array" ref="S19">SUM(Q19,R19)</f>
        <v>0</v>
      </c>
      <c r="T19" s="16" cm="1">
        <f t="array" ref="T19">SUM(P19,S19)</f>
        <v>3</v>
      </c>
      <c r="U19" s="15"/>
      <c r="V19" s="15"/>
      <c r="W19" s="15"/>
      <c r="X19" s="15"/>
      <c r="Y19" s="15"/>
      <c r="Z19" s="15"/>
      <c r="AA19" s="17" t="s">
        <v>49</v>
      </c>
      <c r="AB19" s="15"/>
      <c r="AC19" s="18"/>
      <c r="AD19" s="19"/>
    </row>
    <row r="20" spans="1:30" ht="16" customHeight="1" x14ac:dyDescent="0.2">
      <c r="A20" s="14" t="s">
        <v>50</v>
      </c>
      <c r="B20" s="15"/>
      <c r="C20" s="15"/>
      <c r="D20" s="15"/>
      <c r="E20" s="15"/>
      <c r="F20" s="16">
        <v>1</v>
      </c>
      <c r="G20" s="15"/>
      <c r="H20" s="16" cm="1">
        <f t="array" ref="H20">SUM(F20,G20)</f>
        <v>1</v>
      </c>
      <c r="I20" s="15"/>
      <c r="J20" s="16">
        <v>2</v>
      </c>
      <c r="K20" s="15"/>
      <c r="L20" s="15"/>
      <c r="M20" s="16" cm="1">
        <f t="array" ref="M20">SUM(K20,L20)</f>
        <v>0</v>
      </c>
      <c r="N20" s="16" cm="1">
        <f t="array" ref="N20">SUM(J20,M20)</f>
        <v>2</v>
      </c>
      <c r="O20" s="15"/>
      <c r="P20" s="15"/>
      <c r="Q20" s="15"/>
      <c r="R20" s="15"/>
      <c r="S20" s="16" cm="1">
        <f t="array" ref="S20">SUM(Q20,R20)</f>
        <v>0</v>
      </c>
      <c r="T20" s="16" cm="1">
        <f t="array" ref="T20">SUM(P20,S20)</f>
        <v>0</v>
      </c>
      <c r="U20" s="15"/>
      <c r="V20" s="15"/>
      <c r="W20" s="15"/>
      <c r="X20" s="15"/>
      <c r="Y20" s="15"/>
      <c r="Z20" s="15"/>
      <c r="AA20" s="15"/>
      <c r="AB20" s="15"/>
      <c r="AC20" s="18"/>
      <c r="AD20" s="19"/>
    </row>
    <row r="21" spans="1:30" ht="16" customHeight="1" x14ac:dyDescent="0.2">
      <c r="A21" s="14" t="s">
        <v>51</v>
      </c>
      <c r="B21" s="15"/>
      <c r="C21" s="15"/>
      <c r="D21" s="15"/>
      <c r="E21" s="15"/>
      <c r="F21" s="16">
        <v>1</v>
      </c>
      <c r="G21" s="15"/>
      <c r="H21" s="16" cm="1">
        <f t="array" ref="H21">SUM(F21,G21)</f>
        <v>1</v>
      </c>
      <c r="I21" s="15"/>
      <c r="J21" s="15"/>
      <c r="K21" s="15"/>
      <c r="L21" s="15"/>
      <c r="M21" s="16" cm="1">
        <f t="array" ref="M21">SUM(K21,L21)</f>
        <v>0</v>
      </c>
      <c r="N21" s="16" cm="1">
        <f t="array" ref="N21">SUM(J21,M21)</f>
        <v>0</v>
      </c>
      <c r="O21" s="15"/>
      <c r="P21" s="15"/>
      <c r="Q21" s="15"/>
      <c r="R21" s="15"/>
      <c r="S21" s="16" cm="1">
        <f t="array" ref="S21">SUM(Q21,R21)</f>
        <v>0</v>
      </c>
      <c r="T21" s="16" cm="1">
        <f t="array" ref="T21">SUM(P21,S21)</f>
        <v>0</v>
      </c>
      <c r="U21" s="15"/>
      <c r="V21" s="15"/>
      <c r="W21" s="15"/>
      <c r="X21" s="15"/>
      <c r="Y21" s="15"/>
      <c r="Z21" s="15"/>
      <c r="AA21" s="15"/>
      <c r="AB21" s="15"/>
      <c r="AC21" s="18"/>
      <c r="AD21" s="19"/>
    </row>
    <row r="22" spans="1:30" ht="16" customHeight="1" x14ac:dyDescent="0.2">
      <c r="A22" s="14" t="s">
        <v>52</v>
      </c>
      <c r="B22" s="15"/>
      <c r="C22" s="15"/>
      <c r="D22" s="15"/>
      <c r="E22" s="15"/>
      <c r="F22" s="16">
        <v>1</v>
      </c>
      <c r="G22" s="15"/>
      <c r="H22" s="16" cm="1">
        <f t="array" ref="H22">SUM(F22,G22)</f>
        <v>1</v>
      </c>
      <c r="I22" s="15"/>
      <c r="J22" s="15"/>
      <c r="K22" s="16">
        <v>1</v>
      </c>
      <c r="L22" s="15"/>
      <c r="M22" s="16" cm="1">
        <f t="array" ref="M22">SUM(K22,L22)</f>
        <v>1</v>
      </c>
      <c r="N22" s="16" cm="1">
        <f t="array" ref="N22">SUM(J22,M22)</f>
        <v>1</v>
      </c>
      <c r="O22" s="15"/>
      <c r="P22" s="15"/>
      <c r="Q22" s="15"/>
      <c r="R22" s="15"/>
      <c r="S22" s="16" cm="1">
        <f t="array" ref="S22">SUM(Q22,R22)</f>
        <v>0</v>
      </c>
      <c r="T22" s="16" cm="1">
        <f t="array" ref="T22">SUM(P22,S22)</f>
        <v>0</v>
      </c>
      <c r="U22" s="15"/>
      <c r="V22" s="15"/>
      <c r="W22" s="15"/>
      <c r="X22" s="15"/>
      <c r="Y22" s="15"/>
      <c r="Z22" s="15"/>
      <c r="AA22" s="15"/>
      <c r="AB22" s="15"/>
      <c r="AC22" s="18"/>
      <c r="AD22" s="19"/>
    </row>
    <row r="23" spans="1:30" ht="16" customHeight="1" x14ac:dyDescent="0.2">
      <c r="A23" s="14" t="s">
        <v>53</v>
      </c>
      <c r="B23" s="15"/>
      <c r="C23" s="15"/>
      <c r="D23" s="15"/>
      <c r="E23" s="15"/>
      <c r="F23" s="16">
        <v>1</v>
      </c>
      <c r="G23" s="15"/>
      <c r="H23" s="16" cm="1">
        <f t="array" ref="H23">SUM(F23,G23)</f>
        <v>1</v>
      </c>
      <c r="I23" s="15"/>
      <c r="J23" s="15"/>
      <c r="K23" s="15"/>
      <c r="L23" s="15"/>
      <c r="M23" s="16" cm="1">
        <f t="array" ref="M23">SUM(K23,L23)</f>
        <v>0</v>
      </c>
      <c r="N23" s="16" cm="1">
        <f t="array" ref="N23">SUM(J23,M23)</f>
        <v>0</v>
      </c>
      <c r="O23" s="15"/>
      <c r="P23" s="15"/>
      <c r="Q23" s="15"/>
      <c r="R23" s="15"/>
      <c r="S23" s="16" cm="1">
        <f t="array" ref="S23">SUM(Q23,R23)</f>
        <v>0</v>
      </c>
      <c r="T23" s="16" cm="1">
        <f t="array" ref="T23">SUM(P23,S23)</f>
        <v>0</v>
      </c>
      <c r="U23" s="15"/>
      <c r="V23" s="15"/>
      <c r="W23" s="15"/>
      <c r="X23" s="15"/>
      <c r="Y23" s="15"/>
      <c r="Z23" s="15"/>
      <c r="AA23" s="15"/>
      <c r="AB23" s="15"/>
      <c r="AC23" s="18"/>
      <c r="AD23" s="19"/>
    </row>
    <row r="24" spans="1:30" ht="16" customHeight="1" x14ac:dyDescent="0.2">
      <c r="A24" s="14" t="s">
        <v>54</v>
      </c>
      <c r="B24" s="15"/>
      <c r="C24" s="15"/>
      <c r="D24" s="15"/>
      <c r="E24" s="15"/>
      <c r="F24" s="16">
        <v>1</v>
      </c>
      <c r="G24" s="15"/>
      <c r="H24" s="16" cm="1">
        <f t="array" ref="H24">SUM(F24,G24)</f>
        <v>1</v>
      </c>
      <c r="I24" s="15"/>
      <c r="J24" s="15"/>
      <c r="K24" s="15"/>
      <c r="L24" s="15"/>
      <c r="M24" s="16" cm="1">
        <f t="array" ref="M24">SUM(K24,L24)</f>
        <v>0</v>
      </c>
      <c r="N24" s="16" cm="1">
        <f t="array" ref="N24">SUM(J24,M24)</f>
        <v>0</v>
      </c>
      <c r="O24" s="15"/>
      <c r="P24" s="15"/>
      <c r="Q24" s="15"/>
      <c r="R24" s="15"/>
      <c r="S24" s="16" cm="1">
        <f t="array" ref="S24">SUM(Q24,R24)</f>
        <v>0</v>
      </c>
      <c r="T24" s="16" cm="1">
        <f t="array" ref="T24">SUM(P24,S24)</f>
        <v>0</v>
      </c>
      <c r="U24" s="15"/>
      <c r="V24" s="15"/>
      <c r="W24" s="15"/>
      <c r="X24" s="15"/>
      <c r="Y24" s="15"/>
      <c r="Z24" s="15"/>
      <c r="AA24" s="15"/>
      <c r="AB24" s="15"/>
      <c r="AC24" s="18"/>
      <c r="AD24" s="19"/>
    </row>
    <row r="25" spans="1:30" ht="16" customHeight="1" x14ac:dyDescent="0.2">
      <c r="A25" s="14" t="s">
        <v>55</v>
      </c>
      <c r="B25" s="15"/>
      <c r="C25" s="15"/>
      <c r="D25" s="16">
        <v>45</v>
      </c>
      <c r="E25" s="15"/>
      <c r="F25" s="15"/>
      <c r="G25" s="15"/>
      <c r="H25" s="16" cm="1">
        <f t="array" ref="H25">SUM(F25:G25)</f>
        <v>0</v>
      </c>
      <c r="I25" s="15"/>
      <c r="J25" s="15"/>
      <c r="K25" s="15"/>
      <c r="L25" s="15"/>
      <c r="M25" s="16" cm="1">
        <f t="array" ref="M25">SUM(K25:L25)</f>
        <v>0</v>
      </c>
      <c r="N25" s="16" cm="1">
        <f t="array" ref="N25">SUM(J25,M25)</f>
        <v>0</v>
      </c>
      <c r="O25" s="15"/>
      <c r="P25" s="15"/>
      <c r="Q25" s="15"/>
      <c r="R25" s="15"/>
      <c r="S25" s="16" cm="1">
        <f t="array" ref="S25">SUM(Q25,R25)</f>
        <v>0</v>
      </c>
      <c r="T25" s="16" cm="1">
        <f t="array" ref="T25">SUM(P25,S25)</f>
        <v>0</v>
      </c>
      <c r="U25" s="15"/>
      <c r="V25" s="15"/>
      <c r="W25" s="15"/>
      <c r="X25" s="15"/>
      <c r="Y25" s="15"/>
      <c r="Z25" s="15"/>
      <c r="AA25" s="17" t="s">
        <v>56</v>
      </c>
      <c r="AB25" s="15"/>
      <c r="AC25" s="18"/>
      <c r="AD25" s="19"/>
    </row>
    <row r="26" spans="1:30" ht="16" customHeight="1" x14ac:dyDescent="0.2">
      <c r="A26" s="14" t="s">
        <v>57</v>
      </c>
      <c r="B26" s="15"/>
      <c r="C26" s="15"/>
      <c r="D26" s="16">
        <v>30</v>
      </c>
      <c r="E26" s="15"/>
      <c r="F26" s="16">
        <v>1</v>
      </c>
      <c r="G26" s="15"/>
      <c r="H26" s="16" cm="1">
        <f t="array" ref="H26">SUM(F26:G26)</f>
        <v>1</v>
      </c>
      <c r="I26" s="15"/>
      <c r="J26" s="15"/>
      <c r="K26" s="15"/>
      <c r="L26" s="15"/>
      <c r="M26" s="16" cm="1">
        <f t="array" ref="M26">SUM(K26:L26)</f>
        <v>0</v>
      </c>
      <c r="N26" s="16" cm="1">
        <f t="array" ref="N26">SUM(J26,M26)</f>
        <v>0</v>
      </c>
      <c r="O26" s="15"/>
      <c r="P26" s="16">
        <v>2</v>
      </c>
      <c r="Q26" s="16">
        <v>1</v>
      </c>
      <c r="R26" s="15"/>
      <c r="S26" s="16" cm="1">
        <f t="array" ref="S26">SUM(Q26,R26)</f>
        <v>1</v>
      </c>
      <c r="T26" s="16" cm="1">
        <f t="array" ref="T26">SUM(P26,S26)</f>
        <v>3</v>
      </c>
      <c r="U26" s="15"/>
      <c r="V26" s="15"/>
      <c r="W26" s="15"/>
      <c r="X26" s="15"/>
      <c r="Y26" s="15"/>
      <c r="Z26" s="15"/>
      <c r="AA26" s="17" t="s">
        <v>58</v>
      </c>
      <c r="AB26" s="15"/>
      <c r="AC26" s="18"/>
      <c r="AD26" s="19"/>
    </row>
    <row r="27" spans="1:30" ht="16" customHeight="1" x14ac:dyDescent="0.2">
      <c r="A27" s="14" t="s">
        <v>59</v>
      </c>
      <c r="B27" s="15"/>
      <c r="C27" s="15"/>
      <c r="D27" s="15"/>
      <c r="E27" s="15"/>
      <c r="F27" s="15"/>
      <c r="G27" s="15"/>
      <c r="H27" s="16" cm="1">
        <f t="array" ref="H27">SUM(F27,G27)</f>
        <v>0</v>
      </c>
      <c r="I27" s="15"/>
      <c r="J27" s="16">
        <v>1</v>
      </c>
      <c r="K27" s="15"/>
      <c r="L27" s="15"/>
      <c r="M27" s="16" cm="1">
        <f t="array" ref="M27">SUM(K27,L27)</f>
        <v>0</v>
      </c>
      <c r="N27" s="16" cm="1">
        <f t="array" ref="N27">SUM(M27,J27)</f>
        <v>1</v>
      </c>
      <c r="O27" s="15"/>
      <c r="P27" s="15"/>
      <c r="Q27" s="15"/>
      <c r="R27" s="15"/>
      <c r="S27" s="16" cm="1">
        <f t="array" ref="S27">SUM(Q27,R27)</f>
        <v>0</v>
      </c>
      <c r="T27" s="16" cm="1">
        <f t="array" ref="T27">SUM(P27,S27)</f>
        <v>0</v>
      </c>
      <c r="U27" s="15"/>
      <c r="V27" s="15"/>
      <c r="W27" s="15"/>
      <c r="X27" s="15"/>
      <c r="Y27" s="15"/>
      <c r="Z27" s="15"/>
      <c r="AA27" s="15"/>
      <c r="AB27" s="15"/>
      <c r="AC27" s="18"/>
      <c r="AD27" s="19"/>
    </row>
    <row r="28" spans="1:30" ht="16" customHeight="1" x14ac:dyDescent="0.2">
      <c r="A28" s="14" t="s">
        <v>60</v>
      </c>
      <c r="B28" s="15"/>
      <c r="C28" s="15"/>
      <c r="D28" s="16">
        <v>16</v>
      </c>
      <c r="E28" s="15"/>
      <c r="F28" s="15"/>
      <c r="G28" s="15"/>
      <c r="H28" s="16" cm="1">
        <f t="array" ref="H28">SUM(F28:G28)</f>
        <v>0</v>
      </c>
      <c r="I28" s="15"/>
      <c r="J28" s="16">
        <v>1</v>
      </c>
      <c r="K28" s="15"/>
      <c r="L28" s="15"/>
      <c r="M28" s="16" cm="1">
        <f t="array" ref="M28">SUM(K28:L28)</f>
        <v>0</v>
      </c>
      <c r="N28" s="16" cm="1">
        <f t="array" ref="N28">SUM(J28,M28)</f>
        <v>1</v>
      </c>
      <c r="O28" s="15"/>
      <c r="P28" s="15"/>
      <c r="Q28" s="15"/>
      <c r="R28" s="15"/>
      <c r="S28" s="16" cm="1">
        <f t="array" ref="S28">SUM(Q28,R28)</f>
        <v>0</v>
      </c>
      <c r="T28" s="16" cm="1">
        <f t="array" ref="T28">SUM(P28,S28)</f>
        <v>0</v>
      </c>
      <c r="U28" s="15"/>
      <c r="V28" s="15"/>
      <c r="W28" s="15"/>
      <c r="X28" s="15"/>
      <c r="Y28" s="15"/>
      <c r="Z28" s="15"/>
      <c r="AA28" s="17" t="s">
        <v>61</v>
      </c>
      <c r="AB28" s="15"/>
      <c r="AC28" s="18"/>
      <c r="AD28" s="19"/>
    </row>
    <row r="29" spans="1:30" ht="16" customHeight="1" x14ac:dyDescent="0.2">
      <c r="A29" s="14" t="s">
        <v>62</v>
      </c>
      <c r="B29" s="15"/>
      <c r="C29" s="15"/>
      <c r="D29" s="16">
        <v>4</v>
      </c>
      <c r="E29" s="15"/>
      <c r="F29" s="15"/>
      <c r="G29" s="15"/>
      <c r="H29" s="16" cm="1">
        <f t="array" ref="H29">SUM(F29:G29)</f>
        <v>0</v>
      </c>
      <c r="I29" s="15"/>
      <c r="J29" s="15"/>
      <c r="K29" s="15"/>
      <c r="L29" s="15"/>
      <c r="M29" s="16" cm="1">
        <f t="array" ref="M29">SUM(K29:L29)</f>
        <v>0</v>
      </c>
      <c r="N29" s="16" cm="1">
        <f t="array" ref="N29">SUM(J29,M29)</f>
        <v>0</v>
      </c>
      <c r="O29" s="15"/>
      <c r="P29" s="15"/>
      <c r="Q29" s="15"/>
      <c r="R29" s="15"/>
      <c r="S29" s="16" cm="1">
        <f t="array" ref="S29">SUM(Q29,R29)</f>
        <v>0</v>
      </c>
      <c r="T29" s="16" cm="1">
        <f t="array" ref="T29">SUM(P29,S29)</f>
        <v>0</v>
      </c>
      <c r="U29" s="15"/>
      <c r="V29" s="15"/>
      <c r="W29" s="15"/>
      <c r="X29" s="15"/>
      <c r="Y29" s="15"/>
      <c r="Z29" s="15"/>
      <c r="AA29" s="17" t="s">
        <v>63</v>
      </c>
      <c r="AB29" s="15"/>
      <c r="AC29" s="18"/>
      <c r="AD29" s="19"/>
    </row>
    <row r="30" spans="1:30" ht="16" customHeight="1" x14ac:dyDescent="0.2">
      <c r="A30" s="14" t="s">
        <v>64</v>
      </c>
      <c r="B30" s="15"/>
      <c r="C30" s="15"/>
      <c r="D30" s="16">
        <v>9</v>
      </c>
      <c r="E30" s="15"/>
      <c r="F30" s="15"/>
      <c r="G30" s="15"/>
      <c r="H30" s="16" cm="1">
        <f t="array" ref="H30">SUM(F30:G30)</f>
        <v>0</v>
      </c>
      <c r="I30" s="15"/>
      <c r="J30" s="16">
        <v>1</v>
      </c>
      <c r="K30" s="15"/>
      <c r="L30" s="15"/>
      <c r="M30" s="16" cm="1">
        <f t="array" ref="M30">SUM(K30:L30)</f>
        <v>0</v>
      </c>
      <c r="N30" s="16" cm="1">
        <f t="array" ref="N30">SUM(J30,M30)</f>
        <v>1</v>
      </c>
      <c r="O30" s="15"/>
      <c r="P30" s="16">
        <v>1</v>
      </c>
      <c r="Q30" s="15"/>
      <c r="R30" s="15"/>
      <c r="S30" s="16" cm="1">
        <f t="array" ref="S30">SUM(Q30,R30)</f>
        <v>0</v>
      </c>
      <c r="T30" s="16" cm="1">
        <f t="array" ref="T30">SUM(P30,S30)</f>
        <v>1</v>
      </c>
      <c r="U30" s="15"/>
      <c r="V30" s="15"/>
      <c r="W30" s="15"/>
      <c r="X30" s="15"/>
      <c r="Y30" s="15"/>
      <c r="Z30" s="15"/>
      <c r="AA30" s="15"/>
      <c r="AB30" s="15"/>
      <c r="AC30" s="18"/>
      <c r="AD30" s="19"/>
    </row>
    <row r="31" spans="1:30" ht="16" customHeight="1" x14ac:dyDescent="0.2">
      <c r="A31" s="14" t="s">
        <v>65</v>
      </c>
      <c r="B31" s="15"/>
      <c r="C31" s="15"/>
      <c r="D31" s="16">
        <v>25</v>
      </c>
      <c r="E31" s="15"/>
      <c r="F31" s="15"/>
      <c r="G31" s="15"/>
      <c r="H31" s="16" cm="1">
        <f t="array" ref="H31">SUM(F31:G31)</f>
        <v>0</v>
      </c>
      <c r="I31" s="15"/>
      <c r="J31" s="16">
        <v>1</v>
      </c>
      <c r="K31" s="15"/>
      <c r="L31" s="15"/>
      <c r="M31" s="16" cm="1">
        <f t="array" ref="M31">SUM(K31:L31)</f>
        <v>0</v>
      </c>
      <c r="N31" s="16" cm="1">
        <f t="array" ref="N31">SUM(J31,M31)</f>
        <v>1</v>
      </c>
      <c r="O31" s="15"/>
      <c r="P31" s="15"/>
      <c r="Q31" s="15"/>
      <c r="R31" s="15"/>
      <c r="S31" s="16" cm="1">
        <f t="array" ref="S31">SUM(Q31,R31)</f>
        <v>0</v>
      </c>
      <c r="T31" s="16" cm="1">
        <f t="array" ref="T31">SUM(P31,S31)</f>
        <v>0</v>
      </c>
      <c r="U31" s="15"/>
      <c r="V31" s="15"/>
      <c r="W31" s="15"/>
      <c r="X31" s="15"/>
      <c r="Y31" s="15"/>
      <c r="Z31" s="15"/>
      <c r="AA31" s="15"/>
      <c r="AB31" s="15"/>
      <c r="AC31" s="18"/>
      <c r="AD31" s="19"/>
    </row>
    <row r="32" spans="1:30" ht="16" customHeight="1" x14ac:dyDescent="0.2">
      <c r="A32" s="14" t="s">
        <v>66</v>
      </c>
      <c r="B32" s="15"/>
      <c r="C32" s="15"/>
      <c r="D32" s="16">
        <v>17</v>
      </c>
      <c r="E32" s="15"/>
      <c r="F32" s="15"/>
      <c r="G32" s="15"/>
      <c r="H32" s="16" cm="1">
        <f t="array" ref="H32">SUM(F32:G32)</f>
        <v>0</v>
      </c>
      <c r="I32" s="15"/>
      <c r="J32" s="15"/>
      <c r="K32" s="15"/>
      <c r="L32" s="15"/>
      <c r="M32" s="16" cm="1">
        <f t="array" ref="M32">SUM(K32:L32)</f>
        <v>0</v>
      </c>
      <c r="N32" s="16" cm="1">
        <f t="array" ref="N32">SUM(J32,M32)</f>
        <v>0</v>
      </c>
      <c r="O32" s="15"/>
      <c r="P32" s="15"/>
      <c r="Q32" s="15"/>
      <c r="R32" s="15"/>
      <c r="S32" s="16" cm="1">
        <f t="array" ref="S32">SUM(Q32,R32)</f>
        <v>0</v>
      </c>
      <c r="T32" s="16" cm="1">
        <f t="array" ref="T32">SUM(P32,S32)</f>
        <v>0</v>
      </c>
      <c r="U32" s="15"/>
      <c r="V32" s="15"/>
      <c r="W32" s="15"/>
      <c r="X32" s="15"/>
      <c r="Y32" s="15"/>
      <c r="Z32" s="15"/>
      <c r="AA32" s="17" t="s">
        <v>67</v>
      </c>
      <c r="AB32" s="15"/>
      <c r="AC32" s="18"/>
      <c r="AD32" s="19"/>
    </row>
    <row r="33" spans="1:30" ht="16" customHeight="1" x14ac:dyDescent="0.2">
      <c r="A33" s="14" t="s">
        <v>68</v>
      </c>
      <c r="B33" s="15"/>
      <c r="C33" s="15"/>
      <c r="D33" s="15"/>
      <c r="E33" s="15"/>
      <c r="F33" s="15"/>
      <c r="G33" s="15"/>
      <c r="H33" s="16" cm="1">
        <f t="array" ref="H33">SUM(F33:G33)</f>
        <v>0</v>
      </c>
      <c r="I33" s="15"/>
      <c r="J33" s="15"/>
      <c r="K33" s="15"/>
      <c r="L33" s="15"/>
      <c r="M33" s="16" cm="1">
        <f t="array" ref="M33">SUM(K33:L33)</f>
        <v>0</v>
      </c>
      <c r="N33" s="16" cm="1">
        <f t="array" ref="N33">SUM(J33,M33)</f>
        <v>0</v>
      </c>
      <c r="O33" s="15"/>
      <c r="P33" s="15"/>
      <c r="Q33" s="15"/>
      <c r="R33" s="15"/>
      <c r="S33" s="16" cm="1">
        <f t="array" ref="S33">SUM(Q33,R33)</f>
        <v>0</v>
      </c>
      <c r="T33" s="16" cm="1">
        <f t="array" ref="T33">SUM(P33,S33)</f>
        <v>0</v>
      </c>
      <c r="U33" s="15"/>
      <c r="V33" s="15"/>
      <c r="W33" s="15"/>
      <c r="X33" s="15"/>
      <c r="Y33" s="15"/>
      <c r="Z33" s="15"/>
      <c r="AA33" s="15"/>
      <c r="AB33" s="15"/>
      <c r="AC33" s="18"/>
      <c r="AD33" s="19"/>
    </row>
    <row r="34" spans="1:30" ht="16" customHeight="1" x14ac:dyDescent="0.2">
      <c r="A34" s="14" t="s">
        <v>69</v>
      </c>
      <c r="B34" s="15"/>
      <c r="C34" s="15"/>
      <c r="D34" s="16">
        <v>20</v>
      </c>
      <c r="E34" s="15"/>
      <c r="F34" s="15"/>
      <c r="G34" s="15"/>
      <c r="H34" s="16" cm="1">
        <f t="array" ref="H34">SUM(F34:G34)</f>
        <v>0</v>
      </c>
      <c r="I34" s="15"/>
      <c r="J34" s="15"/>
      <c r="K34" s="15"/>
      <c r="L34" s="15"/>
      <c r="M34" s="16" cm="1">
        <f t="array" ref="M34">SUM(K34:L34)</f>
        <v>0</v>
      </c>
      <c r="N34" s="16" cm="1">
        <f t="array" ref="N34">SUM(J34,M34)</f>
        <v>0</v>
      </c>
      <c r="O34" s="15"/>
      <c r="P34" s="16">
        <v>1</v>
      </c>
      <c r="Q34" s="15"/>
      <c r="R34" s="15"/>
      <c r="S34" s="16" cm="1">
        <f t="array" ref="S34">SUM(Q34,R34)</f>
        <v>0</v>
      </c>
      <c r="T34" s="16" cm="1">
        <f t="array" ref="T34">SUM(P34,S34)</f>
        <v>1</v>
      </c>
      <c r="U34" s="15"/>
      <c r="V34" s="15"/>
      <c r="W34" s="15"/>
      <c r="X34" s="15"/>
      <c r="Y34" s="15"/>
      <c r="Z34" s="15"/>
      <c r="AA34" s="15"/>
      <c r="AB34" s="15"/>
      <c r="AC34" s="18"/>
      <c r="AD34" s="19"/>
    </row>
    <row r="35" spans="1:30" ht="16" customHeight="1" x14ac:dyDescent="0.2">
      <c r="A35" s="14" t="s">
        <v>70</v>
      </c>
      <c r="B35" s="15"/>
      <c r="C35" s="15"/>
      <c r="D35" s="15"/>
      <c r="E35" s="15"/>
      <c r="F35" s="15"/>
      <c r="G35" s="15"/>
      <c r="H35" s="16" cm="1">
        <f t="array" ref="H35">SUM(F35:G35)</f>
        <v>0</v>
      </c>
      <c r="I35" s="15"/>
      <c r="J35" s="15"/>
      <c r="K35" s="15"/>
      <c r="L35" s="15"/>
      <c r="M35" s="16" cm="1">
        <f t="array" ref="M35">SUM(K35:L35)</f>
        <v>0</v>
      </c>
      <c r="N35" s="16" cm="1">
        <f t="array" ref="N35">SUM(J35,M35)</f>
        <v>0</v>
      </c>
      <c r="O35" s="15"/>
      <c r="P35" s="15"/>
      <c r="Q35" s="15"/>
      <c r="R35" s="15"/>
      <c r="S35" s="16" cm="1">
        <f t="array" ref="S35">SUM(Q35,R35)</f>
        <v>0</v>
      </c>
      <c r="T35" s="16" cm="1">
        <f t="array" ref="T35">SUM(P35,S35)</f>
        <v>0</v>
      </c>
      <c r="U35" s="15"/>
      <c r="V35" s="15"/>
      <c r="W35" s="15"/>
      <c r="X35" s="15"/>
      <c r="Y35" s="15"/>
      <c r="Z35" s="15"/>
      <c r="AA35" s="15"/>
      <c r="AB35" s="15"/>
      <c r="AC35" s="18"/>
      <c r="AD35" s="19"/>
    </row>
    <row r="36" spans="1:30" ht="16" customHeight="1" x14ac:dyDescent="0.2">
      <c r="A36" s="14" t="s">
        <v>71</v>
      </c>
      <c r="B36" s="15"/>
      <c r="C36" s="15"/>
      <c r="D36" s="16">
        <v>21</v>
      </c>
      <c r="E36" s="15"/>
      <c r="F36" s="15"/>
      <c r="G36" s="15"/>
      <c r="H36" s="16" cm="1">
        <f t="array" ref="H36">SUM(F36:G36)</f>
        <v>0</v>
      </c>
      <c r="I36" s="15"/>
      <c r="J36" s="15"/>
      <c r="K36" s="15"/>
      <c r="L36" s="15"/>
      <c r="M36" s="16" cm="1">
        <f t="array" ref="M36">SUM(K36:L36)</f>
        <v>0</v>
      </c>
      <c r="N36" s="16" cm="1">
        <f t="array" ref="N36">SUM(J36,M36)</f>
        <v>0</v>
      </c>
      <c r="O36" s="15"/>
      <c r="P36" s="15"/>
      <c r="Q36" s="15"/>
      <c r="R36" s="15"/>
      <c r="S36" s="16" cm="1">
        <f t="array" ref="S36">SUM(Q36,R36)</f>
        <v>0</v>
      </c>
      <c r="T36" s="16" cm="1">
        <f t="array" ref="T36">SUM(P36,S36)</f>
        <v>0</v>
      </c>
      <c r="U36" s="15"/>
      <c r="V36" s="15"/>
      <c r="W36" s="15"/>
      <c r="X36" s="15"/>
      <c r="Y36" s="15"/>
      <c r="Z36" s="15"/>
      <c r="AA36" s="15"/>
      <c r="AB36" s="15"/>
      <c r="AC36" s="18"/>
      <c r="AD36" s="19"/>
    </row>
    <row r="37" spans="1:30" ht="16" customHeight="1" x14ac:dyDescent="0.2">
      <c r="A37" s="14" t="s">
        <v>72</v>
      </c>
      <c r="B37" s="15"/>
      <c r="C37" s="15"/>
      <c r="D37" s="16">
        <v>14</v>
      </c>
      <c r="E37" s="15"/>
      <c r="F37" s="15"/>
      <c r="G37" s="15"/>
      <c r="H37" s="16" cm="1">
        <f t="array" ref="H37">SUM(F37:G37)</f>
        <v>0</v>
      </c>
      <c r="I37" s="15"/>
      <c r="J37" s="15"/>
      <c r="K37" s="15"/>
      <c r="L37" s="15"/>
      <c r="M37" s="16" cm="1">
        <f t="array" ref="M37">SUM(K37:L37)</f>
        <v>0</v>
      </c>
      <c r="N37" s="16" cm="1">
        <f t="array" ref="N37">SUM(J37,M37)</f>
        <v>0</v>
      </c>
      <c r="O37" s="15"/>
      <c r="P37" s="15"/>
      <c r="Q37" s="15"/>
      <c r="R37" s="15"/>
      <c r="S37" s="16" cm="1">
        <f t="array" ref="S37">SUM(Q37,R37)</f>
        <v>0</v>
      </c>
      <c r="T37" s="16" cm="1">
        <f t="array" ref="T37">SUM(P37,S37)</f>
        <v>0</v>
      </c>
      <c r="U37" s="15"/>
      <c r="V37" s="15"/>
      <c r="W37" s="15"/>
      <c r="X37" s="15"/>
      <c r="Y37" s="15"/>
      <c r="Z37" s="15"/>
      <c r="AA37" s="17" t="s">
        <v>73</v>
      </c>
      <c r="AB37" s="15"/>
      <c r="AC37" s="18"/>
      <c r="AD37" s="19"/>
    </row>
    <row r="38" spans="1:30" ht="16" customHeight="1" x14ac:dyDescent="0.2">
      <c r="A38" s="14" t="s">
        <v>74</v>
      </c>
      <c r="B38" s="15"/>
      <c r="C38" s="15"/>
      <c r="D38" s="16">
        <v>6</v>
      </c>
      <c r="E38" s="15"/>
      <c r="F38" s="15"/>
      <c r="G38" s="15"/>
      <c r="H38" s="16" cm="1">
        <f t="array" ref="H38">SUM(F38:G38)</f>
        <v>0</v>
      </c>
      <c r="I38" s="15"/>
      <c r="J38" s="15"/>
      <c r="K38" s="15"/>
      <c r="L38" s="15"/>
      <c r="M38" s="16" cm="1">
        <f t="array" ref="M38">SUM(K38:L38)</f>
        <v>0</v>
      </c>
      <c r="N38" s="16" cm="1">
        <f t="array" ref="N38">SUM(J38,M38)</f>
        <v>0</v>
      </c>
      <c r="O38" s="15"/>
      <c r="P38" s="15"/>
      <c r="Q38" s="15"/>
      <c r="R38" s="15"/>
      <c r="S38" s="16" cm="1">
        <f t="array" ref="S38">SUM(Q38,R38)</f>
        <v>0</v>
      </c>
      <c r="T38" s="16" cm="1">
        <f t="array" ref="T38">SUM(P38,S38)</f>
        <v>0</v>
      </c>
      <c r="U38" s="15"/>
      <c r="V38" s="15"/>
      <c r="W38" s="15"/>
      <c r="X38" s="15"/>
      <c r="Y38" s="15"/>
      <c r="Z38" s="15"/>
      <c r="AA38" s="15"/>
      <c r="AB38" s="15"/>
      <c r="AC38" s="18"/>
      <c r="AD38" s="19"/>
    </row>
    <row r="39" spans="1:30" ht="16" customHeight="1" x14ac:dyDescent="0.2">
      <c r="A39" s="14" t="s">
        <v>75</v>
      </c>
      <c r="B39" s="15"/>
      <c r="C39" s="15"/>
      <c r="D39" s="17"/>
      <c r="E39" s="15"/>
      <c r="F39" s="15"/>
      <c r="G39" s="15"/>
      <c r="H39" s="16" cm="1">
        <f t="array" ref="H39">SUM(F39:G39)</f>
        <v>0</v>
      </c>
      <c r="I39" s="15"/>
      <c r="J39" s="15"/>
      <c r="K39" s="15"/>
      <c r="L39" s="15"/>
      <c r="M39" s="16" cm="1">
        <f t="array" ref="M39">SUM(K39:L39)</f>
        <v>0</v>
      </c>
      <c r="N39" s="16" cm="1">
        <f t="array" ref="N39">SUM(M39,J39)</f>
        <v>0</v>
      </c>
      <c r="O39" s="15"/>
      <c r="P39" s="15"/>
      <c r="Q39" s="15"/>
      <c r="R39" s="15"/>
      <c r="S39" s="16" cm="1">
        <f t="array" ref="S39">SUM(Q39,R39)</f>
        <v>0</v>
      </c>
      <c r="T39" s="16" cm="1">
        <f t="array" ref="T39">SUM(P39,S39)</f>
        <v>0</v>
      </c>
      <c r="U39" s="15"/>
      <c r="V39" s="15"/>
      <c r="W39" s="15"/>
      <c r="X39" s="15"/>
      <c r="Y39" s="15"/>
      <c r="Z39" s="15"/>
      <c r="AA39" s="15"/>
      <c r="AB39" s="15"/>
      <c r="AC39" s="18"/>
      <c r="AD39" s="19"/>
    </row>
    <row r="40" spans="1:30" ht="16" customHeight="1" x14ac:dyDescent="0.2">
      <c r="A40" s="14" t="s">
        <v>76</v>
      </c>
      <c r="B40" s="15"/>
      <c r="C40" s="15"/>
      <c r="D40" s="15"/>
      <c r="E40" s="15"/>
      <c r="F40" s="16">
        <v>1</v>
      </c>
      <c r="G40" s="15"/>
      <c r="H40" s="16" cm="1">
        <f t="array" ref="H40">SUM(F40:G40)</f>
        <v>1</v>
      </c>
      <c r="I40" s="15"/>
      <c r="J40" s="15"/>
      <c r="K40" s="16">
        <v>2</v>
      </c>
      <c r="L40" s="15"/>
      <c r="M40" s="16" cm="1">
        <f t="array" ref="M40">SUM(K40,L40)</f>
        <v>2</v>
      </c>
      <c r="N40" s="16" cm="1">
        <f t="array" ref="N40">SUM(J40,M40)</f>
        <v>2</v>
      </c>
      <c r="O40" s="15"/>
      <c r="P40" s="15"/>
      <c r="Q40" s="16">
        <v>1</v>
      </c>
      <c r="R40" s="15"/>
      <c r="S40" s="16" cm="1">
        <f t="array" ref="S40">SUM(Q40,R40)</f>
        <v>1</v>
      </c>
      <c r="T40" s="16" cm="1">
        <f t="array" ref="T40">SUM(P40,S40)</f>
        <v>1</v>
      </c>
      <c r="U40" s="15"/>
      <c r="V40" s="15"/>
      <c r="W40" s="15"/>
      <c r="X40" s="15"/>
      <c r="Y40" s="15"/>
      <c r="Z40" s="15"/>
      <c r="AA40" s="15"/>
      <c r="AB40" s="15"/>
      <c r="AC40" s="18"/>
      <c r="AD40" s="19"/>
    </row>
    <row r="41" spans="1:30" ht="16" customHeight="1" x14ac:dyDescent="0.2">
      <c r="A41" s="14" t="s">
        <v>77</v>
      </c>
      <c r="B41" s="15"/>
      <c r="C41" s="15"/>
      <c r="D41" s="16">
        <v>7</v>
      </c>
      <c r="E41" s="15"/>
      <c r="F41" s="15"/>
      <c r="G41" s="15"/>
      <c r="H41" s="16" cm="1">
        <f t="array" ref="H41">SUM(F41,G41)</f>
        <v>0</v>
      </c>
      <c r="I41" s="15"/>
      <c r="J41" s="16">
        <v>1</v>
      </c>
      <c r="K41" s="15"/>
      <c r="L41" s="15"/>
      <c r="M41" s="16" cm="1">
        <f t="array" ref="M41">SUM(K41,L41)</f>
        <v>0</v>
      </c>
      <c r="N41" s="16" cm="1">
        <f t="array" ref="N41">SUM(J41,M41)</f>
        <v>1</v>
      </c>
      <c r="O41" s="15"/>
      <c r="P41" s="16">
        <v>1</v>
      </c>
      <c r="Q41" s="15"/>
      <c r="R41" s="15"/>
      <c r="S41" s="16" cm="1">
        <f t="array" ref="S41">SUM(Q41,R41)</f>
        <v>0</v>
      </c>
      <c r="T41" s="16" cm="1">
        <f t="array" ref="T41">SUM(P41,S41)</f>
        <v>1</v>
      </c>
      <c r="U41" s="15"/>
      <c r="V41" s="15"/>
      <c r="W41" s="15"/>
      <c r="X41" s="15"/>
      <c r="Y41" s="15"/>
      <c r="Z41" s="15"/>
      <c r="AA41" s="15"/>
      <c r="AB41" s="15"/>
      <c r="AC41" s="18"/>
      <c r="AD41" s="19"/>
    </row>
    <row r="42" spans="1:30" ht="16" customHeight="1" x14ac:dyDescent="0.2">
      <c r="A42" s="14" t="s">
        <v>78</v>
      </c>
      <c r="B42" s="15"/>
      <c r="C42" s="15"/>
      <c r="D42" s="15"/>
      <c r="E42" s="15"/>
      <c r="F42" s="16">
        <v>1</v>
      </c>
      <c r="G42" s="15"/>
      <c r="H42" s="16" cm="1">
        <f t="array" ref="H42">SUM(F42,G42)</f>
        <v>1</v>
      </c>
      <c r="I42" s="15"/>
      <c r="J42" s="15"/>
      <c r="K42" s="16">
        <v>2</v>
      </c>
      <c r="L42" s="15"/>
      <c r="M42" s="16" cm="1">
        <f t="array" ref="M42">SUM(K42,L42)</f>
        <v>2</v>
      </c>
      <c r="N42" s="16" cm="1">
        <f t="array" ref="N42">SUM(J42,M42)</f>
        <v>2</v>
      </c>
      <c r="O42" s="15"/>
      <c r="P42" s="15"/>
      <c r="Q42" s="16">
        <v>2</v>
      </c>
      <c r="R42" s="15"/>
      <c r="S42" s="16" cm="1">
        <f t="array" ref="S42">SUM(Q42,R42)</f>
        <v>2</v>
      </c>
      <c r="T42" s="16" cm="1">
        <f t="array" ref="T42">SUM(P42,S42)</f>
        <v>2</v>
      </c>
      <c r="U42" s="15"/>
      <c r="V42" s="15"/>
      <c r="W42" s="15"/>
      <c r="X42" s="15"/>
      <c r="Y42" s="15"/>
      <c r="Z42" s="15"/>
      <c r="AA42" s="15"/>
      <c r="AB42" s="15"/>
      <c r="AC42" s="18"/>
      <c r="AD42" s="19"/>
    </row>
    <row r="43" spans="1:30" ht="16" customHeight="1" x14ac:dyDescent="0.2">
      <c r="A43" s="14" t="s">
        <v>79</v>
      </c>
      <c r="B43" s="15"/>
      <c r="C43" s="15"/>
      <c r="D43" s="15"/>
      <c r="E43" s="15"/>
      <c r="F43" s="16">
        <v>1</v>
      </c>
      <c r="G43" s="15"/>
      <c r="H43" s="16" cm="1">
        <f t="array" ref="H43">SUM(F43,G43)</f>
        <v>1</v>
      </c>
      <c r="I43" s="15"/>
      <c r="J43" s="15"/>
      <c r="K43" s="15"/>
      <c r="L43" s="15"/>
      <c r="M43" s="16" cm="1">
        <f t="array" ref="M43">SUM(K43,L43)</f>
        <v>0</v>
      </c>
      <c r="N43" s="16" cm="1">
        <f t="array" ref="N43">SUM(J43,M43)</f>
        <v>0</v>
      </c>
      <c r="O43" s="15"/>
      <c r="P43" s="15"/>
      <c r="Q43" s="15"/>
      <c r="R43" s="15"/>
      <c r="S43" s="16" cm="1">
        <f t="array" ref="S43">SUM(Q43,R43)</f>
        <v>0</v>
      </c>
      <c r="T43" s="16" cm="1">
        <f t="array" ref="T43">SUM(P43,S43)</f>
        <v>0</v>
      </c>
      <c r="U43" s="15"/>
      <c r="V43" s="15"/>
      <c r="W43" s="15"/>
      <c r="X43" s="15"/>
      <c r="Y43" s="15"/>
      <c r="Z43" s="15"/>
      <c r="AA43" s="15"/>
      <c r="AB43" s="15"/>
      <c r="AC43" s="18"/>
      <c r="AD43" s="19"/>
    </row>
    <row r="44" spans="1:30" ht="16" customHeight="1" x14ac:dyDescent="0.2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1"/>
      <c r="AB44" s="21"/>
      <c r="AC44" s="21"/>
      <c r="AD44" s="21"/>
    </row>
    <row r="45" spans="1:30" ht="16" customHeight="1" x14ac:dyDescent="0.2">
      <c r="A45" s="12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9"/>
      <c r="AB45" s="9"/>
      <c r="AC45" s="9"/>
      <c r="AD45" s="9"/>
    </row>
    <row r="46" spans="1:30" ht="16" customHeight="1" x14ac:dyDescent="0.2">
      <c r="A46" s="22" t="s">
        <v>8</v>
      </c>
      <c r="B46" s="23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9"/>
      <c r="AB46" s="9"/>
      <c r="AC46" s="9"/>
      <c r="AD46" s="9"/>
    </row>
    <row r="47" spans="1:30" ht="16" customHeight="1" x14ac:dyDescent="0.2">
      <c r="A47" s="20"/>
      <c r="B47" s="7"/>
      <c r="C47" s="12"/>
      <c r="D47" s="12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9"/>
      <c r="AB47" s="9"/>
      <c r="AC47" s="9"/>
      <c r="AD47" s="9"/>
    </row>
    <row r="48" spans="1:30" ht="16" customHeight="1" x14ac:dyDescent="0.2">
      <c r="A48" s="24">
        <v>44833</v>
      </c>
      <c r="B48" s="25"/>
      <c r="C48" s="17" t="s">
        <v>80</v>
      </c>
      <c r="D48" s="15"/>
      <c r="E48" s="26" t="s">
        <v>81</v>
      </c>
      <c r="F48" s="10" t="s">
        <v>82</v>
      </c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9"/>
      <c r="AB48" s="9"/>
      <c r="AC48" s="9"/>
      <c r="AD48" s="9"/>
    </row>
    <row r="49" spans="1:30" ht="16" customHeight="1" x14ac:dyDescent="0.2">
      <c r="A49" s="7"/>
      <c r="B49" s="25"/>
      <c r="C49" s="17" t="s">
        <v>83</v>
      </c>
      <c r="D49" s="15"/>
      <c r="E49" s="23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9"/>
      <c r="AB49" s="9"/>
      <c r="AC49" s="9"/>
      <c r="AD49" s="9"/>
    </row>
    <row r="50" spans="1:30" ht="16" customHeight="1" x14ac:dyDescent="0.2">
      <c r="A50" s="7"/>
      <c r="B50" s="25"/>
      <c r="C50" s="17" t="s">
        <v>84</v>
      </c>
      <c r="D50" s="15"/>
      <c r="E50" s="23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9"/>
      <c r="AB50" s="9"/>
      <c r="AC50" s="9"/>
      <c r="AD50" s="9"/>
    </row>
    <row r="51" spans="1:30" ht="16" customHeight="1" x14ac:dyDescent="0.2">
      <c r="A51" s="7"/>
      <c r="B51" s="7"/>
      <c r="C51" s="27"/>
      <c r="D51" s="2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9"/>
      <c r="AB51" s="9"/>
      <c r="AC51" s="9"/>
      <c r="AD51" s="9"/>
    </row>
    <row r="52" spans="1:30" ht="16" customHeight="1" x14ac:dyDescent="0.2">
      <c r="A52" s="24">
        <v>44837</v>
      </c>
      <c r="B52" s="25"/>
      <c r="C52" s="17" t="s">
        <v>80</v>
      </c>
      <c r="D52" s="15"/>
      <c r="E52" s="28" t="s">
        <v>85</v>
      </c>
      <c r="F52" s="10" t="s">
        <v>86</v>
      </c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9"/>
      <c r="AB52" s="9"/>
      <c r="AC52" s="9"/>
      <c r="AD52" s="9"/>
    </row>
    <row r="53" spans="1:30" ht="16" customHeight="1" x14ac:dyDescent="0.2">
      <c r="A53" s="7"/>
      <c r="B53" s="25"/>
      <c r="C53" s="17" t="s">
        <v>87</v>
      </c>
      <c r="D53" s="15"/>
      <c r="E53" s="23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9"/>
      <c r="AB53" s="9"/>
      <c r="AC53" s="9"/>
      <c r="AD53" s="9"/>
    </row>
    <row r="54" spans="1:30" ht="16" customHeight="1" x14ac:dyDescent="0.2">
      <c r="A54" s="7"/>
      <c r="B54" s="25"/>
      <c r="C54" s="17" t="s">
        <v>83</v>
      </c>
      <c r="D54" s="15"/>
      <c r="E54" s="23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9"/>
      <c r="AB54" s="9"/>
      <c r="AC54" s="9"/>
      <c r="AD54" s="9"/>
    </row>
    <row r="55" spans="1:30" ht="16" customHeight="1" x14ac:dyDescent="0.2">
      <c r="A55" s="7"/>
      <c r="B55" s="25"/>
      <c r="C55" s="17" t="s">
        <v>88</v>
      </c>
      <c r="D55" s="15"/>
      <c r="E55" s="23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9"/>
      <c r="AB55" s="9"/>
      <c r="AC55" s="9"/>
      <c r="AD55" s="9"/>
    </row>
    <row r="56" spans="1:30" ht="16" customHeight="1" x14ac:dyDescent="0.2">
      <c r="A56" s="7"/>
      <c r="B56" s="7"/>
      <c r="C56" s="20"/>
      <c r="D56" s="20"/>
      <c r="E56" s="7"/>
      <c r="F56" s="12"/>
      <c r="G56" s="12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9"/>
      <c r="AB56" s="9"/>
      <c r="AC56" s="9"/>
      <c r="AD56" s="9"/>
    </row>
    <row r="57" spans="1:30" ht="16" customHeight="1" x14ac:dyDescent="0.2">
      <c r="A57" s="24">
        <v>44846</v>
      </c>
      <c r="B57" s="7"/>
      <c r="C57" s="10" t="s">
        <v>89</v>
      </c>
      <c r="D57" s="7"/>
      <c r="E57" s="29" t="s">
        <v>90</v>
      </c>
      <c r="F57" s="17" t="s">
        <v>80</v>
      </c>
      <c r="G57" s="15"/>
      <c r="H57" s="23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9"/>
      <c r="AB57" s="9"/>
      <c r="AC57" s="9"/>
      <c r="AD57" s="9"/>
    </row>
    <row r="58" spans="1:30" ht="16" customHeight="1" x14ac:dyDescent="0.2">
      <c r="A58" s="7"/>
      <c r="B58" s="7"/>
      <c r="C58" s="7"/>
      <c r="D58" s="7"/>
      <c r="E58" s="25"/>
      <c r="F58" s="17" t="s">
        <v>91</v>
      </c>
      <c r="G58" s="15"/>
      <c r="H58" s="23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9"/>
      <c r="AB58" s="9"/>
      <c r="AC58" s="9"/>
      <c r="AD58" s="9"/>
    </row>
    <row r="59" spans="1:30" ht="16" customHeight="1" x14ac:dyDescent="0.2">
      <c r="A59" s="7"/>
      <c r="B59" s="7"/>
      <c r="C59" s="7"/>
      <c r="D59" s="7"/>
      <c r="E59" s="7"/>
      <c r="F59" s="27"/>
      <c r="G59" s="2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9"/>
      <c r="AB59" s="9"/>
      <c r="AC59" s="9"/>
      <c r="AD59" s="9"/>
    </row>
    <row r="60" spans="1:30" ht="16" customHeight="1" x14ac:dyDescent="0.2">
      <c r="A60" s="24">
        <v>45008</v>
      </c>
      <c r="B60" s="7"/>
      <c r="C60" s="10" t="s">
        <v>92</v>
      </c>
      <c r="D60" s="7"/>
      <c r="E60" s="29" t="s">
        <v>93</v>
      </c>
      <c r="F60" s="17" t="s">
        <v>80</v>
      </c>
      <c r="G60" s="15"/>
      <c r="H60" s="23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9"/>
      <c r="AB60" s="9"/>
      <c r="AC60" s="9"/>
      <c r="AD60" s="9"/>
    </row>
    <row r="61" spans="1:30" ht="16" customHeight="1" x14ac:dyDescent="0.2">
      <c r="A61" s="7"/>
      <c r="B61" s="7"/>
      <c r="C61" s="7"/>
      <c r="D61" s="7"/>
      <c r="E61" s="25"/>
      <c r="F61" s="17" t="s">
        <v>94</v>
      </c>
      <c r="G61" s="15"/>
      <c r="H61" s="23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9"/>
      <c r="AB61" s="9"/>
      <c r="AC61" s="9"/>
      <c r="AD61" s="9"/>
    </row>
    <row r="62" spans="1:30" ht="16" customHeight="1" x14ac:dyDescent="0.2">
      <c r="A62" s="7"/>
      <c r="B62" s="7"/>
      <c r="C62" s="7"/>
      <c r="D62" s="7"/>
      <c r="E62" s="25"/>
      <c r="F62" s="17" t="s">
        <v>95</v>
      </c>
      <c r="G62" s="15"/>
      <c r="H62" s="23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9"/>
      <c r="AB62" s="9"/>
      <c r="AC62" s="9"/>
      <c r="AD62" s="9"/>
    </row>
    <row r="63" spans="1:30" ht="16" customHeight="1" x14ac:dyDescent="0.2">
      <c r="A63" s="7"/>
      <c r="B63" s="7"/>
      <c r="C63" s="7"/>
      <c r="D63" s="7"/>
      <c r="E63" s="25"/>
      <c r="F63" s="17" t="s">
        <v>96</v>
      </c>
      <c r="G63" s="15"/>
      <c r="H63" s="23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9"/>
      <c r="AB63" s="9"/>
      <c r="AC63" s="9"/>
      <c r="AD63" s="9"/>
    </row>
    <row r="64" spans="1:30" ht="16" customHeight="1" x14ac:dyDescent="0.2">
      <c r="A64" s="12"/>
      <c r="B64" s="12"/>
      <c r="C64" s="7"/>
      <c r="D64" s="7"/>
      <c r="E64" s="7"/>
      <c r="F64" s="20"/>
      <c r="G64" s="20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9"/>
      <c r="AB64" s="9"/>
      <c r="AC64" s="9"/>
      <c r="AD64" s="9"/>
    </row>
    <row r="65" spans="1:30" ht="16" customHeight="1" x14ac:dyDescent="0.2">
      <c r="A65" s="22" t="s">
        <v>97</v>
      </c>
      <c r="B65" s="30"/>
      <c r="C65" s="23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9"/>
      <c r="AB65" s="9"/>
      <c r="AC65" s="9"/>
      <c r="AD65" s="9"/>
    </row>
    <row r="66" spans="1:30" ht="16" customHeight="1" x14ac:dyDescent="0.2">
      <c r="A66" s="20"/>
      <c r="B66" s="20"/>
      <c r="C66" s="12"/>
      <c r="D66" s="12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9"/>
      <c r="AB66" s="9"/>
      <c r="AC66" s="9"/>
      <c r="AD66" s="9"/>
    </row>
    <row r="67" spans="1:30" ht="16" customHeight="1" x14ac:dyDescent="0.2">
      <c r="A67" s="24">
        <v>44860</v>
      </c>
      <c r="B67" s="25"/>
      <c r="C67" s="17" t="s">
        <v>80</v>
      </c>
      <c r="D67" s="15"/>
      <c r="E67" s="28" t="s">
        <v>98</v>
      </c>
      <c r="F67" s="10" t="s">
        <v>99</v>
      </c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9"/>
      <c r="AB67" s="9"/>
      <c r="AC67" s="9"/>
      <c r="AD67" s="9"/>
    </row>
    <row r="68" spans="1:30" ht="16" customHeight="1" x14ac:dyDescent="0.2">
      <c r="A68" s="7"/>
      <c r="B68" s="25"/>
      <c r="C68" s="17" t="s">
        <v>83</v>
      </c>
      <c r="D68" s="15"/>
      <c r="E68" s="23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9"/>
      <c r="AB68" s="9"/>
      <c r="AC68" s="9"/>
      <c r="AD68" s="9"/>
    </row>
    <row r="69" spans="1:30" ht="16" customHeight="1" x14ac:dyDescent="0.2">
      <c r="A69" s="7"/>
      <c r="B69" s="7"/>
      <c r="C69" s="27"/>
      <c r="D69" s="2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9"/>
      <c r="AB69" s="9"/>
      <c r="AC69" s="9"/>
      <c r="AD69" s="9"/>
    </row>
    <row r="70" spans="1:30" ht="16" customHeight="1" x14ac:dyDescent="0.2">
      <c r="A70" s="24">
        <v>44867</v>
      </c>
      <c r="B70" s="25"/>
      <c r="C70" s="17" t="s">
        <v>80</v>
      </c>
      <c r="D70" s="15"/>
      <c r="E70" s="28" t="s">
        <v>100</v>
      </c>
      <c r="F70" s="10" t="s">
        <v>101</v>
      </c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9"/>
      <c r="AB70" s="9"/>
      <c r="AC70" s="9"/>
      <c r="AD70" s="9"/>
    </row>
    <row r="71" spans="1:30" ht="16" customHeight="1" x14ac:dyDescent="0.2">
      <c r="A71" s="7"/>
      <c r="B71" s="7"/>
      <c r="C71" s="27"/>
      <c r="D71" s="2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9"/>
      <c r="AB71" s="9"/>
      <c r="AC71" s="9"/>
      <c r="AD71" s="9"/>
    </row>
    <row r="72" spans="1:30" ht="16" customHeight="1" x14ac:dyDescent="0.2">
      <c r="A72" s="24">
        <v>44875</v>
      </c>
      <c r="B72" s="25"/>
      <c r="C72" s="17" t="s">
        <v>80</v>
      </c>
      <c r="D72" s="15"/>
      <c r="E72" s="28" t="s">
        <v>102</v>
      </c>
      <c r="F72" s="10" t="s">
        <v>103</v>
      </c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9"/>
      <c r="AB72" s="9"/>
      <c r="AC72" s="9"/>
      <c r="AD72" s="9"/>
    </row>
    <row r="73" spans="1:30" ht="16" customHeight="1" x14ac:dyDescent="0.2">
      <c r="A73" s="7"/>
      <c r="B73" s="25"/>
      <c r="C73" s="17" t="s">
        <v>104</v>
      </c>
      <c r="D73" s="15"/>
      <c r="E73" s="23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9"/>
      <c r="AB73" s="9"/>
      <c r="AC73" s="9"/>
      <c r="AD73" s="9"/>
    </row>
    <row r="74" spans="1:30" ht="16" customHeight="1" x14ac:dyDescent="0.2">
      <c r="A74" s="7"/>
      <c r="B74" s="25"/>
      <c r="C74" s="31" t="s">
        <v>150</v>
      </c>
      <c r="D74" s="15"/>
      <c r="E74" s="23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9"/>
      <c r="AB74" s="9"/>
      <c r="AC74" s="9"/>
      <c r="AD74" s="9"/>
    </row>
    <row r="75" spans="1:30" ht="16" customHeight="1" x14ac:dyDescent="0.2">
      <c r="A75" s="7"/>
      <c r="B75" s="7"/>
      <c r="C75" s="27"/>
      <c r="D75" s="2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9"/>
      <c r="AB75" s="9"/>
      <c r="AC75" s="9"/>
      <c r="AD75" s="9"/>
    </row>
    <row r="76" spans="1:30" ht="16" customHeight="1" x14ac:dyDescent="0.2">
      <c r="A76" s="24">
        <v>44879</v>
      </c>
      <c r="B76" s="25"/>
      <c r="C76" s="17" t="s">
        <v>80</v>
      </c>
      <c r="D76" s="15"/>
      <c r="E76" s="28" t="s">
        <v>106</v>
      </c>
      <c r="F76" s="10" t="s">
        <v>107</v>
      </c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9"/>
      <c r="AB76" s="9"/>
      <c r="AC76" s="9"/>
      <c r="AD76" s="9"/>
    </row>
    <row r="77" spans="1:30" ht="16" customHeight="1" x14ac:dyDescent="0.2">
      <c r="A77" s="7"/>
      <c r="B77" s="25"/>
      <c r="C77" s="17" t="s">
        <v>88</v>
      </c>
      <c r="D77" s="15"/>
      <c r="E77" s="23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9"/>
      <c r="AB77" s="9"/>
      <c r="AC77" s="9"/>
      <c r="AD77" s="9"/>
    </row>
    <row r="78" spans="1:30" ht="16" customHeight="1" x14ac:dyDescent="0.2">
      <c r="A78" s="7"/>
      <c r="B78" s="25"/>
      <c r="C78" s="17" t="s">
        <v>83</v>
      </c>
      <c r="D78" s="15"/>
      <c r="E78" s="23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9"/>
      <c r="AB78" s="9"/>
      <c r="AC78" s="9"/>
      <c r="AD78" s="9"/>
    </row>
    <row r="79" spans="1:30" ht="16" customHeight="1" x14ac:dyDescent="0.2">
      <c r="A79" s="7"/>
      <c r="B79" s="7"/>
      <c r="C79" s="27"/>
      <c r="D79" s="2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9"/>
      <c r="AB79" s="9"/>
      <c r="AC79" s="9"/>
      <c r="AD79" s="9"/>
    </row>
    <row r="80" spans="1:30" ht="16" customHeight="1" x14ac:dyDescent="0.2">
      <c r="A80" s="24">
        <v>44888</v>
      </c>
      <c r="B80" s="25"/>
      <c r="C80" s="17" t="s">
        <v>80</v>
      </c>
      <c r="D80" s="15"/>
      <c r="E80" s="28" t="s">
        <v>108</v>
      </c>
      <c r="F80" s="10" t="s">
        <v>109</v>
      </c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9"/>
      <c r="AB80" s="9"/>
      <c r="AC80" s="9"/>
      <c r="AD80" s="9"/>
    </row>
    <row r="81" spans="1:30" ht="16" customHeight="1" x14ac:dyDescent="0.2">
      <c r="A81" s="7"/>
      <c r="B81" s="25"/>
      <c r="C81" s="17" t="s">
        <v>83</v>
      </c>
      <c r="D81" s="15"/>
      <c r="E81" s="23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9"/>
      <c r="AB81" s="9"/>
      <c r="AC81" s="9"/>
      <c r="AD81" s="9"/>
    </row>
    <row r="82" spans="1:30" ht="16" customHeight="1" x14ac:dyDescent="0.2">
      <c r="A82" s="7"/>
      <c r="B82" s="25"/>
      <c r="C82" s="32" t="s">
        <v>110</v>
      </c>
      <c r="D82" s="15"/>
      <c r="E82" s="23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9"/>
      <c r="AB82" s="9"/>
      <c r="AC82" s="9"/>
      <c r="AD82" s="9"/>
    </row>
    <row r="83" spans="1:30" ht="16" customHeight="1" x14ac:dyDescent="0.2">
      <c r="A83" s="7"/>
      <c r="B83" s="7"/>
      <c r="C83" s="27"/>
      <c r="D83" s="2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9"/>
      <c r="AB83" s="9"/>
      <c r="AC83" s="9"/>
      <c r="AD83" s="9"/>
    </row>
    <row r="84" spans="1:30" ht="16" customHeight="1" x14ac:dyDescent="0.2">
      <c r="A84" s="24">
        <v>44895</v>
      </c>
      <c r="B84" s="25"/>
      <c r="C84" s="17" t="s">
        <v>80</v>
      </c>
      <c r="D84" s="15"/>
      <c r="E84" s="28" t="s">
        <v>111</v>
      </c>
      <c r="F84" s="10" t="s">
        <v>112</v>
      </c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9"/>
      <c r="AB84" s="9"/>
      <c r="AC84" s="9"/>
      <c r="AD84" s="9"/>
    </row>
    <row r="85" spans="1:30" ht="16" customHeight="1" x14ac:dyDescent="0.2">
      <c r="A85" s="7"/>
      <c r="B85" s="25"/>
      <c r="C85" s="17" t="s">
        <v>83</v>
      </c>
      <c r="D85" s="15"/>
      <c r="E85" s="23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9"/>
      <c r="AB85" s="9"/>
      <c r="AC85" s="9"/>
      <c r="AD85" s="9"/>
    </row>
    <row r="86" spans="1:30" ht="16" customHeight="1" x14ac:dyDescent="0.2">
      <c r="A86" s="7"/>
      <c r="B86" s="25"/>
      <c r="C86" s="17" t="s">
        <v>113</v>
      </c>
      <c r="D86" s="15"/>
      <c r="E86" s="23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9"/>
      <c r="AB86" s="9"/>
      <c r="AC86" s="9"/>
      <c r="AD86" s="9"/>
    </row>
    <row r="87" spans="1:30" ht="16" customHeight="1" x14ac:dyDescent="0.2">
      <c r="A87" s="7"/>
      <c r="B87" s="7"/>
      <c r="C87" s="27"/>
      <c r="D87" s="2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9"/>
      <c r="AB87" s="9"/>
      <c r="AC87" s="9"/>
      <c r="AD87" s="9"/>
    </row>
    <row r="88" spans="1:30" ht="16" customHeight="1" x14ac:dyDescent="0.2">
      <c r="A88" s="24">
        <v>44902</v>
      </c>
      <c r="B88" s="25"/>
      <c r="C88" s="17" t="s">
        <v>80</v>
      </c>
      <c r="D88" s="15"/>
      <c r="E88" s="28" t="s">
        <v>114</v>
      </c>
      <c r="F88" s="10" t="s">
        <v>115</v>
      </c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9"/>
      <c r="AB88" s="9"/>
      <c r="AC88" s="9"/>
      <c r="AD88" s="9"/>
    </row>
    <row r="89" spans="1:30" ht="16" customHeight="1" x14ac:dyDescent="0.2">
      <c r="A89" s="7"/>
      <c r="B89" s="25"/>
      <c r="C89" s="17" t="s">
        <v>116</v>
      </c>
      <c r="D89" s="15"/>
      <c r="E89" s="23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9"/>
      <c r="AB89" s="9"/>
      <c r="AC89" s="9"/>
      <c r="AD89" s="9"/>
    </row>
    <row r="90" spans="1:30" ht="16" customHeight="1" x14ac:dyDescent="0.2">
      <c r="A90" s="7"/>
      <c r="B90" s="25"/>
      <c r="C90" s="17" t="s">
        <v>83</v>
      </c>
      <c r="D90" s="15"/>
      <c r="E90" s="23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9"/>
      <c r="AB90" s="9"/>
      <c r="AC90" s="9"/>
      <c r="AD90" s="9"/>
    </row>
    <row r="91" spans="1:30" ht="16" customHeight="1" x14ac:dyDescent="0.2">
      <c r="A91" s="7"/>
      <c r="B91" s="7"/>
      <c r="C91" s="27"/>
      <c r="D91" s="2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9"/>
      <c r="AB91" s="9"/>
      <c r="AC91" s="9"/>
      <c r="AD91" s="9"/>
    </row>
    <row r="92" spans="1:30" ht="16" customHeight="1" x14ac:dyDescent="0.2">
      <c r="A92" s="24">
        <v>44909</v>
      </c>
      <c r="B92" s="25"/>
      <c r="C92" s="17" t="s">
        <v>80</v>
      </c>
      <c r="D92" s="15"/>
      <c r="E92" s="28" t="s">
        <v>102</v>
      </c>
      <c r="F92" s="10" t="s">
        <v>117</v>
      </c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9"/>
      <c r="AB92" s="9"/>
      <c r="AC92" s="9"/>
      <c r="AD92" s="9"/>
    </row>
    <row r="93" spans="1:30" ht="16" customHeight="1" x14ac:dyDescent="0.2">
      <c r="A93" s="7"/>
      <c r="B93" s="25"/>
      <c r="C93" s="17" t="s">
        <v>118</v>
      </c>
      <c r="D93" s="15"/>
      <c r="E93" s="23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9"/>
      <c r="AB93" s="9"/>
      <c r="AC93" s="9"/>
      <c r="AD93" s="9"/>
    </row>
    <row r="94" spans="1:30" ht="16" customHeight="1" x14ac:dyDescent="0.2">
      <c r="A94" s="7"/>
      <c r="B94" s="25"/>
      <c r="C94" s="17" t="s">
        <v>113</v>
      </c>
      <c r="D94" s="15"/>
      <c r="E94" s="23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9"/>
      <c r="AB94" s="9"/>
      <c r="AC94" s="9"/>
      <c r="AD94" s="9"/>
    </row>
    <row r="95" spans="1:30" ht="16" customHeight="1" x14ac:dyDescent="0.2">
      <c r="A95" s="7"/>
      <c r="B95" s="7"/>
      <c r="C95" s="27"/>
      <c r="D95" s="2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9"/>
      <c r="AB95" s="9"/>
      <c r="AC95" s="9"/>
      <c r="AD95" s="9"/>
    </row>
    <row r="96" spans="1:30" ht="16" customHeight="1" x14ac:dyDescent="0.2">
      <c r="A96" s="24">
        <v>44935</v>
      </c>
      <c r="B96" s="25"/>
      <c r="C96" s="17" t="s">
        <v>80</v>
      </c>
      <c r="D96" s="15"/>
      <c r="E96" s="28" t="s">
        <v>119</v>
      </c>
      <c r="F96" s="10" t="s">
        <v>120</v>
      </c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9"/>
      <c r="AB96" s="9"/>
      <c r="AC96" s="9"/>
      <c r="AD96" s="9"/>
    </row>
    <row r="97" spans="1:30" ht="16" customHeight="1" x14ac:dyDescent="0.2">
      <c r="A97" s="7"/>
      <c r="B97" s="25"/>
      <c r="C97" s="17" t="s">
        <v>105</v>
      </c>
      <c r="D97" s="15"/>
      <c r="E97" s="23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9"/>
      <c r="AB97" s="9"/>
      <c r="AC97" s="9"/>
      <c r="AD97" s="9"/>
    </row>
    <row r="98" spans="1:30" ht="16" customHeight="1" x14ac:dyDescent="0.2">
      <c r="A98" s="7"/>
      <c r="B98" s="25"/>
      <c r="C98" s="17" t="s">
        <v>87</v>
      </c>
      <c r="D98" s="15"/>
      <c r="E98" s="23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9"/>
      <c r="AB98" s="9"/>
      <c r="AC98" s="9"/>
      <c r="AD98" s="9"/>
    </row>
    <row r="99" spans="1:30" ht="16" customHeight="1" x14ac:dyDescent="0.2">
      <c r="A99" s="7"/>
      <c r="B99" s="25"/>
      <c r="C99" s="32" t="s">
        <v>110</v>
      </c>
      <c r="D99" s="15"/>
      <c r="E99" s="23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9"/>
      <c r="AB99" s="9"/>
      <c r="AC99" s="9"/>
      <c r="AD99" s="9"/>
    </row>
    <row r="100" spans="1:30" ht="16" customHeight="1" x14ac:dyDescent="0.2">
      <c r="A100" s="7"/>
      <c r="B100" s="7"/>
      <c r="C100" s="27"/>
      <c r="D100" s="2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9"/>
      <c r="AB100" s="9"/>
      <c r="AC100" s="9"/>
      <c r="AD100" s="9"/>
    </row>
    <row r="101" spans="1:30" ht="16" customHeight="1" x14ac:dyDescent="0.2">
      <c r="A101" s="24">
        <v>44944</v>
      </c>
      <c r="B101" s="25"/>
      <c r="C101" s="17" t="s">
        <v>80</v>
      </c>
      <c r="D101" s="15"/>
      <c r="E101" s="28" t="s">
        <v>121</v>
      </c>
      <c r="F101" s="10" t="s">
        <v>122</v>
      </c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9"/>
      <c r="AB101" s="9"/>
      <c r="AC101" s="9"/>
      <c r="AD101" s="9"/>
    </row>
    <row r="102" spans="1:30" ht="16" customHeight="1" x14ac:dyDescent="0.2">
      <c r="A102" s="7"/>
      <c r="B102" s="25"/>
      <c r="C102" s="17" t="s">
        <v>123</v>
      </c>
      <c r="D102" s="15"/>
      <c r="E102" s="23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9"/>
      <c r="AB102" s="9"/>
      <c r="AC102" s="9"/>
      <c r="AD102" s="9"/>
    </row>
    <row r="103" spans="1:30" ht="16" customHeight="1" x14ac:dyDescent="0.2">
      <c r="A103" s="7"/>
      <c r="B103" s="25"/>
      <c r="C103" s="17" t="s">
        <v>83</v>
      </c>
      <c r="D103" s="15"/>
      <c r="E103" s="23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9"/>
      <c r="AB103" s="9"/>
      <c r="AC103" s="9"/>
      <c r="AD103" s="9"/>
    </row>
    <row r="104" spans="1:30" ht="16" customHeight="1" x14ac:dyDescent="0.2">
      <c r="A104" s="7"/>
      <c r="B104" s="25"/>
      <c r="C104" s="17" t="s">
        <v>116</v>
      </c>
      <c r="D104" s="15"/>
      <c r="E104" s="23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9"/>
      <c r="AB104" s="9"/>
      <c r="AC104" s="9"/>
      <c r="AD104" s="9"/>
    </row>
    <row r="105" spans="1:30" ht="16" customHeight="1" x14ac:dyDescent="0.2">
      <c r="A105" s="7"/>
      <c r="B105" s="7"/>
      <c r="C105" s="27"/>
      <c r="D105" s="2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9"/>
      <c r="AB105" s="9"/>
      <c r="AC105" s="9"/>
      <c r="AD105" s="9"/>
    </row>
    <row r="106" spans="1:30" ht="16" customHeight="1" x14ac:dyDescent="0.2">
      <c r="A106" s="24">
        <v>44951</v>
      </c>
      <c r="B106" s="25"/>
      <c r="C106" s="17" t="s">
        <v>80</v>
      </c>
      <c r="D106" s="15"/>
      <c r="E106" s="28" t="s">
        <v>85</v>
      </c>
      <c r="F106" s="10" t="s">
        <v>124</v>
      </c>
      <c r="G106" s="7"/>
      <c r="H106" s="10" t="s">
        <v>125</v>
      </c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9"/>
      <c r="AB106" s="9"/>
      <c r="AC106" s="9"/>
      <c r="AD106" s="9"/>
    </row>
    <row r="107" spans="1:30" ht="16" customHeight="1" x14ac:dyDescent="0.2">
      <c r="A107" s="7"/>
      <c r="B107" s="7"/>
      <c r="C107" s="27"/>
      <c r="D107" s="2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9"/>
      <c r="AB107" s="9"/>
      <c r="AC107" s="9"/>
      <c r="AD107" s="9"/>
    </row>
    <row r="108" spans="1:30" ht="16" customHeight="1" x14ac:dyDescent="0.2">
      <c r="A108" s="24">
        <v>44957</v>
      </c>
      <c r="B108" s="25"/>
      <c r="C108" s="17" t="s">
        <v>80</v>
      </c>
      <c r="D108" s="15"/>
      <c r="E108" s="28" t="s">
        <v>126</v>
      </c>
      <c r="F108" s="10" t="s">
        <v>127</v>
      </c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9"/>
      <c r="AB108" s="9"/>
      <c r="AC108" s="9"/>
      <c r="AD108" s="9"/>
    </row>
    <row r="109" spans="1:30" ht="16" customHeight="1" x14ac:dyDescent="0.2">
      <c r="A109" s="24"/>
      <c r="B109" s="25"/>
      <c r="C109" s="32" t="s">
        <v>110</v>
      </c>
      <c r="D109" s="15"/>
      <c r="E109" s="23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9"/>
      <c r="AB109" s="9"/>
      <c r="AC109" s="9"/>
      <c r="AD109" s="9"/>
    </row>
    <row r="110" spans="1:30" ht="16" customHeight="1" x14ac:dyDescent="0.2">
      <c r="A110" s="7"/>
      <c r="B110" s="7"/>
      <c r="C110" s="27"/>
      <c r="D110" s="2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9"/>
      <c r="AB110" s="9"/>
      <c r="AC110" s="9"/>
      <c r="AD110" s="9"/>
    </row>
    <row r="111" spans="1:30" ht="16" customHeight="1" x14ac:dyDescent="0.2">
      <c r="A111" s="24">
        <v>44963</v>
      </c>
      <c r="B111" s="25"/>
      <c r="C111" s="17" t="s">
        <v>80</v>
      </c>
      <c r="D111" s="15"/>
      <c r="E111" s="28" t="s">
        <v>128</v>
      </c>
      <c r="F111" s="10" t="s">
        <v>129</v>
      </c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9"/>
      <c r="AB111" s="9"/>
      <c r="AC111" s="9"/>
      <c r="AD111" s="9"/>
    </row>
    <row r="112" spans="1:30" ht="16" customHeight="1" x14ac:dyDescent="0.2">
      <c r="A112" s="7"/>
      <c r="B112" s="25"/>
      <c r="C112" s="17" t="s">
        <v>130</v>
      </c>
      <c r="D112" s="15"/>
      <c r="E112" s="23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9"/>
      <c r="AB112" s="9"/>
      <c r="AC112" s="9"/>
      <c r="AD112" s="9"/>
    </row>
    <row r="113" spans="1:30" ht="16" customHeight="1" x14ac:dyDescent="0.2">
      <c r="A113" s="7"/>
      <c r="B113" s="25"/>
      <c r="C113" s="17" t="s">
        <v>88</v>
      </c>
      <c r="D113" s="15"/>
      <c r="E113" s="23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9"/>
      <c r="AB113" s="9"/>
      <c r="AC113" s="9"/>
      <c r="AD113" s="9"/>
    </row>
    <row r="114" spans="1:30" ht="16" customHeight="1" x14ac:dyDescent="0.2">
      <c r="A114" s="7"/>
      <c r="B114" s="25"/>
      <c r="C114" s="17" t="s">
        <v>113</v>
      </c>
      <c r="D114" s="15"/>
      <c r="E114" s="23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9"/>
      <c r="AB114" s="9"/>
      <c r="AC114" s="9"/>
      <c r="AD114" s="9"/>
    </row>
    <row r="115" spans="1:30" ht="16" customHeight="1" x14ac:dyDescent="0.2">
      <c r="A115" s="7"/>
      <c r="B115" s="25"/>
      <c r="C115" s="17" t="s">
        <v>96</v>
      </c>
      <c r="D115" s="15"/>
      <c r="E115" s="23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9"/>
      <c r="AB115" s="9"/>
      <c r="AC115" s="9"/>
      <c r="AD115" s="9"/>
    </row>
    <row r="116" spans="1:30" ht="16" customHeight="1" x14ac:dyDescent="0.2">
      <c r="A116" s="7"/>
      <c r="B116" s="7"/>
      <c r="C116" s="27"/>
      <c r="D116" s="2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9"/>
      <c r="AB116" s="9"/>
      <c r="AC116" s="9"/>
      <c r="AD116" s="9"/>
    </row>
    <row r="117" spans="1:30" ht="16" customHeight="1" x14ac:dyDescent="0.2">
      <c r="A117" s="24">
        <v>44970</v>
      </c>
      <c r="B117" s="25"/>
      <c r="C117" s="17" t="s">
        <v>80</v>
      </c>
      <c r="D117" s="15"/>
      <c r="E117" s="28" t="s">
        <v>131</v>
      </c>
      <c r="F117" s="10" t="s">
        <v>132</v>
      </c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9"/>
      <c r="AB117" s="9"/>
      <c r="AC117" s="9"/>
      <c r="AD117" s="9"/>
    </row>
    <row r="118" spans="1:30" ht="16" customHeight="1" x14ac:dyDescent="0.2">
      <c r="A118" s="7"/>
      <c r="B118" s="25"/>
      <c r="C118" s="17" t="s">
        <v>83</v>
      </c>
      <c r="D118" s="15"/>
      <c r="E118" s="23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9"/>
      <c r="AB118" s="9"/>
      <c r="AC118" s="9"/>
      <c r="AD118" s="9"/>
    </row>
    <row r="119" spans="1:30" ht="16" customHeight="1" x14ac:dyDescent="0.2">
      <c r="A119" s="7"/>
      <c r="B119" s="7"/>
      <c r="C119" s="27"/>
      <c r="D119" s="2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9"/>
      <c r="AB119" s="9"/>
      <c r="AC119" s="9"/>
      <c r="AD119" s="9"/>
    </row>
    <row r="120" spans="1:30" ht="16" customHeight="1" x14ac:dyDescent="0.2">
      <c r="A120" s="24">
        <v>44979</v>
      </c>
      <c r="B120" s="25"/>
      <c r="C120" s="17" t="s">
        <v>80</v>
      </c>
      <c r="D120" s="15"/>
      <c r="E120" s="28" t="s">
        <v>133</v>
      </c>
      <c r="F120" s="10" t="s">
        <v>134</v>
      </c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9"/>
      <c r="AB120" s="9"/>
      <c r="AC120" s="9"/>
      <c r="AD120" s="9"/>
    </row>
    <row r="121" spans="1:30" ht="16" customHeight="1" x14ac:dyDescent="0.2">
      <c r="A121" s="7"/>
      <c r="B121" s="25"/>
      <c r="C121" s="17" t="s">
        <v>135</v>
      </c>
      <c r="D121" s="15"/>
      <c r="E121" s="23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9"/>
      <c r="AB121" s="9"/>
      <c r="AC121" s="9"/>
      <c r="AD121" s="9"/>
    </row>
    <row r="122" spans="1:30" ht="16" customHeight="1" x14ac:dyDescent="0.2">
      <c r="A122" s="12"/>
      <c r="B122" s="12"/>
      <c r="C122" s="20"/>
      <c r="D122" s="20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9"/>
      <c r="AB122" s="9"/>
      <c r="AC122" s="9"/>
      <c r="AD122" s="9"/>
    </row>
    <row r="123" spans="1:30" ht="16" customHeight="1" x14ac:dyDescent="0.2">
      <c r="A123" s="22" t="s">
        <v>136</v>
      </c>
      <c r="B123" s="30"/>
      <c r="C123" s="23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9"/>
      <c r="AB123" s="9"/>
      <c r="AC123" s="9"/>
      <c r="AD123" s="9"/>
    </row>
    <row r="124" spans="1:30" ht="16" customHeight="1" x14ac:dyDescent="0.2">
      <c r="A124" s="20"/>
      <c r="B124" s="20"/>
      <c r="C124" s="12"/>
      <c r="D124" s="12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9"/>
      <c r="AB124" s="9"/>
      <c r="AC124" s="9"/>
      <c r="AD124" s="9"/>
    </row>
    <row r="125" spans="1:30" ht="16" customHeight="1" x14ac:dyDescent="0.2">
      <c r="A125" s="24">
        <v>45000</v>
      </c>
      <c r="B125" s="25"/>
      <c r="C125" s="17" t="s">
        <v>80</v>
      </c>
      <c r="D125" s="15"/>
      <c r="E125" s="28" t="s">
        <v>126</v>
      </c>
      <c r="F125" s="10" t="s">
        <v>115</v>
      </c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9"/>
      <c r="AB125" s="9"/>
      <c r="AC125" s="9"/>
      <c r="AD125" s="9"/>
    </row>
    <row r="126" spans="1:30" ht="16" customHeight="1" x14ac:dyDescent="0.2">
      <c r="A126" s="7"/>
      <c r="B126" s="7"/>
      <c r="C126" s="27"/>
      <c r="D126" s="2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9"/>
      <c r="AB126" s="9"/>
      <c r="AC126" s="9"/>
      <c r="AD126" s="9"/>
    </row>
    <row r="127" spans="1:30" ht="16" customHeight="1" x14ac:dyDescent="0.2">
      <c r="A127" s="24">
        <v>45005</v>
      </c>
      <c r="B127" s="25"/>
      <c r="C127" s="17" t="s">
        <v>80</v>
      </c>
      <c r="D127" s="15"/>
      <c r="E127" s="28" t="s">
        <v>121</v>
      </c>
      <c r="F127" s="10" t="s">
        <v>120</v>
      </c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9"/>
      <c r="AB127" s="9"/>
      <c r="AC127" s="9"/>
      <c r="AD127" s="9"/>
    </row>
    <row r="128" spans="1:30" ht="16" customHeight="1" x14ac:dyDescent="0.2">
      <c r="A128" s="7"/>
      <c r="B128" s="25"/>
      <c r="C128" s="17" t="s">
        <v>83</v>
      </c>
      <c r="D128" s="15"/>
      <c r="E128" s="23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9"/>
      <c r="AB128" s="9"/>
      <c r="AC128" s="9"/>
      <c r="AD128" s="9"/>
    </row>
    <row r="129" spans="1:30" ht="16" customHeight="1" x14ac:dyDescent="0.2">
      <c r="A129" s="7"/>
      <c r="B129" s="25"/>
      <c r="C129" s="17" t="s">
        <v>123</v>
      </c>
      <c r="D129" s="15"/>
      <c r="E129" s="23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9"/>
      <c r="AB129" s="9"/>
      <c r="AC129" s="9"/>
      <c r="AD129" s="9"/>
    </row>
    <row r="130" spans="1:30" ht="16" customHeight="1" x14ac:dyDescent="0.2">
      <c r="A130" s="7"/>
      <c r="B130" s="25"/>
      <c r="C130" s="17" t="s">
        <v>137</v>
      </c>
      <c r="D130" s="15"/>
      <c r="E130" s="23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9"/>
      <c r="AB130" s="9"/>
      <c r="AC130" s="9"/>
      <c r="AD130" s="9"/>
    </row>
    <row r="131" spans="1:30" ht="16" customHeight="1" x14ac:dyDescent="0.2">
      <c r="A131" s="7"/>
      <c r="B131" s="25"/>
      <c r="C131" s="17" t="s">
        <v>138</v>
      </c>
      <c r="D131" s="15"/>
      <c r="E131" s="23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9"/>
      <c r="AB131" s="9"/>
      <c r="AC131" s="9"/>
      <c r="AD131" s="9"/>
    </row>
    <row r="132" spans="1:30" ht="16" customHeight="1" x14ac:dyDescent="0.2">
      <c r="A132" s="7"/>
      <c r="B132" s="7"/>
      <c r="C132" s="27"/>
      <c r="D132" s="2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9"/>
      <c r="AB132" s="9"/>
      <c r="AC132" s="9"/>
      <c r="AD132" s="9"/>
    </row>
    <row r="133" spans="1:30" ht="16" customHeight="1" x14ac:dyDescent="0.2">
      <c r="A133" s="24">
        <v>45012</v>
      </c>
      <c r="B133" s="25"/>
      <c r="C133" s="17" t="s">
        <v>80</v>
      </c>
      <c r="D133" s="15"/>
      <c r="E133" s="28" t="s">
        <v>100</v>
      </c>
      <c r="F133" s="10" t="s">
        <v>122</v>
      </c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9"/>
      <c r="AB133" s="9"/>
      <c r="AC133" s="9"/>
      <c r="AD133" s="9"/>
    </row>
    <row r="134" spans="1:30" ht="16" customHeight="1" x14ac:dyDescent="0.2">
      <c r="A134" s="7"/>
      <c r="B134" s="25"/>
      <c r="C134" s="32" t="s">
        <v>151</v>
      </c>
      <c r="D134" s="15"/>
      <c r="E134" s="23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9"/>
      <c r="AB134" s="9"/>
      <c r="AC134" s="9"/>
      <c r="AD134" s="9"/>
    </row>
    <row r="135" spans="1:30" ht="16" customHeight="1" x14ac:dyDescent="0.2">
      <c r="A135" s="7"/>
      <c r="B135" s="7"/>
      <c r="C135" s="27"/>
      <c r="D135" s="2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9"/>
      <c r="AB135" s="9"/>
      <c r="AC135" s="9"/>
      <c r="AD135" s="9"/>
    </row>
    <row r="136" spans="1:30" ht="16" customHeight="1" x14ac:dyDescent="0.2">
      <c r="A136" s="24">
        <v>45019</v>
      </c>
      <c r="B136" s="25"/>
      <c r="C136" s="17" t="s">
        <v>80</v>
      </c>
      <c r="D136" s="15"/>
      <c r="E136" s="28" t="s">
        <v>98</v>
      </c>
      <c r="F136" s="10" t="s">
        <v>101</v>
      </c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9"/>
      <c r="AB136" s="9"/>
      <c r="AC136" s="9"/>
      <c r="AD136" s="9"/>
    </row>
    <row r="137" spans="1:30" ht="16" customHeight="1" x14ac:dyDescent="0.2">
      <c r="A137" s="7"/>
      <c r="B137" s="25"/>
      <c r="C137" s="17" t="s">
        <v>83</v>
      </c>
      <c r="D137" s="15"/>
      <c r="E137" s="23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9"/>
      <c r="AB137" s="9"/>
      <c r="AC137" s="9"/>
      <c r="AD137" s="9"/>
    </row>
    <row r="138" spans="1:30" ht="16" customHeight="1" x14ac:dyDescent="0.2">
      <c r="A138" s="7"/>
      <c r="B138" s="7"/>
      <c r="C138" s="27"/>
      <c r="D138" s="2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9"/>
      <c r="AB138" s="9"/>
      <c r="AC138" s="9"/>
      <c r="AD138" s="9"/>
    </row>
    <row r="139" spans="1:30" ht="16" customHeight="1" x14ac:dyDescent="0.2">
      <c r="A139" s="24">
        <v>45028</v>
      </c>
      <c r="B139" s="25"/>
      <c r="C139" s="17" t="s">
        <v>80</v>
      </c>
      <c r="D139" s="15"/>
      <c r="E139" s="28" t="s">
        <v>139</v>
      </c>
      <c r="F139" s="10" t="s">
        <v>99</v>
      </c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9"/>
      <c r="AB139" s="9"/>
      <c r="AC139" s="9"/>
      <c r="AD139" s="9"/>
    </row>
    <row r="140" spans="1:30" ht="16" customHeight="1" x14ac:dyDescent="0.2">
      <c r="A140" s="7"/>
      <c r="B140" s="25"/>
      <c r="C140" s="17" t="s">
        <v>118</v>
      </c>
      <c r="D140" s="15"/>
      <c r="E140" s="23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9"/>
      <c r="AB140" s="9"/>
      <c r="AC140" s="9"/>
      <c r="AD140" s="9"/>
    </row>
    <row r="141" spans="1:30" ht="16" customHeight="1" x14ac:dyDescent="0.2">
      <c r="A141" s="7"/>
      <c r="B141" s="7"/>
      <c r="C141" s="27"/>
      <c r="D141" s="2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9"/>
      <c r="AB141" s="9"/>
      <c r="AC141" s="9"/>
      <c r="AD141" s="9"/>
    </row>
    <row r="142" spans="1:30" ht="16" customHeight="1" x14ac:dyDescent="0.2">
      <c r="A142" s="24">
        <v>45033</v>
      </c>
      <c r="B142" s="25"/>
      <c r="C142" s="17" t="s">
        <v>80</v>
      </c>
      <c r="D142" s="15"/>
      <c r="E142" s="28" t="s">
        <v>108</v>
      </c>
      <c r="F142" s="10" t="s">
        <v>132</v>
      </c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9"/>
      <c r="AB142" s="9"/>
      <c r="AC142" s="9"/>
      <c r="AD142" s="9"/>
    </row>
    <row r="143" spans="1:30" ht="16" customHeight="1" x14ac:dyDescent="0.2">
      <c r="A143" s="7"/>
      <c r="B143" s="25"/>
      <c r="C143" s="17" t="s">
        <v>87</v>
      </c>
      <c r="D143" s="15"/>
      <c r="E143" s="23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9"/>
      <c r="AB143" s="9"/>
      <c r="AC143" s="9"/>
      <c r="AD143" s="9"/>
    </row>
    <row r="144" spans="1:30" ht="16" customHeight="1" x14ac:dyDescent="0.2">
      <c r="A144" s="7"/>
      <c r="B144" s="7"/>
      <c r="C144" s="27"/>
      <c r="D144" s="2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9"/>
      <c r="AB144" s="9"/>
      <c r="AC144" s="9"/>
      <c r="AD144" s="9"/>
    </row>
    <row r="145" spans="1:30" ht="16" customHeight="1" x14ac:dyDescent="0.2">
      <c r="A145" s="24">
        <v>45043</v>
      </c>
      <c r="B145" s="25"/>
      <c r="C145" s="17" t="s">
        <v>80</v>
      </c>
      <c r="D145" s="15"/>
      <c r="E145" s="28" t="s">
        <v>140</v>
      </c>
      <c r="F145" s="10" t="s">
        <v>141</v>
      </c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9"/>
      <c r="AB145" s="9"/>
      <c r="AC145" s="9"/>
      <c r="AD145" s="9"/>
    </row>
    <row r="146" spans="1:30" ht="16" customHeight="1" x14ac:dyDescent="0.2">
      <c r="A146" s="7"/>
      <c r="B146" s="25"/>
      <c r="C146" s="17" t="s">
        <v>83</v>
      </c>
      <c r="D146" s="15"/>
      <c r="E146" s="23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9"/>
      <c r="AB146" s="9"/>
      <c r="AC146" s="9"/>
      <c r="AD146" s="9"/>
    </row>
    <row r="147" spans="1:30" ht="16" customHeight="1" x14ac:dyDescent="0.2">
      <c r="A147" s="7"/>
      <c r="B147" s="25"/>
      <c r="C147" s="17" t="s">
        <v>87</v>
      </c>
      <c r="D147" s="15"/>
      <c r="E147" s="23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9"/>
      <c r="AB147" s="9"/>
      <c r="AC147" s="9"/>
      <c r="AD147" s="9"/>
    </row>
    <row r="148" spans="1:30" ht="16" customHeight="1" x14ac:dyDescent="0.2">
      <c r="A148" s="7"/>
      <c r="B148" s="25"/>
      <c r="C148" s="17" t="s">
        <v>88</v>
      </c>
      <c r="D148" s="15"/>
      <c r="E148" s="23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9"/>
      <c r="AB148" s="9"/>
      <c r="AC148" s="9"/>
      <c r="AD148" s="9"/>
    </row>
    <row r="149" spans="1:30" ht="16" customHeight="1" x14ac:dyDescent="0.2">
      <c r="A149" s="12"/>
      <c r="B149" s="7"/>
      <c r="C149" s="20"/>
      <c r="D149" s="20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9"/>
      <c r="AB149" s="9"/>
      <c r="AC149" s="9"/>
      <c r="AD149" s="9"/>
    </row>
    <row r="150" spans="1:30" ht="16" customHeight="1" x14ac:dyDescent="0.2">
      <c r="A150" s="22" t="s">
        <v>142</v>
      </c>
      <c r="B150" s="23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9"/>
      <c r="AB150" s="9"/>
      <c r="AC150" s="9"/>
      <c r="AD150" s="9"/>
    </row>
    <row r="151" spans="1:30" ht="16" customHeight="1" x14ac:dyDescent="0.2">
      <c r="A151" s="20"/>
      <c r="B151" s="7"/>
      <c r="C151" s="12"/>
      <c r="D151" s="12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9"/>
      <c r="AB151" s="9"/>
      <c r="AC151" s="9"/>
      <c r="AD151" s="9"/>
    </row>
    <row r="152" spans="1:30" ht="16" customHeight="1" x14ac:dyDescent="0.2">
      <c r="A152" s="24">
        <v>45048</v>
      </c>
      <c r="B152" s="25"/>
      <c r="C152" s="17" t="s">
        <v>80</v>
      </c>
      <c r="D152" s="15"/>
      <c r="E152" s="28" t="s">
        <v>100</v>
      </c>
      <c r="F152" s="10" t="s">
        <v>141</v>
      </c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9"/>
      <c r="AB152" s="9"/>
      <c r="AC152" s="9"/>
      <c r="AD152" s="9"/>
    </row>
    <row r="153" spans="1:30" ht="16" customHeight="1" x14ac:dyDescent="0.2">
      <c r="A153" s="12"/>
      <c r="B153" s="12"/>
      <c r="C153" s="21"/>
      <c r="D153" s="20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9"/>
      <c r="AB153" s="9"/>
      <c r="AC153" s="9"/>
      <c r="AD153" s="9"/>
    </row>
    <row r="154" spans="1:30" ht="16" customHeight="1" x14ac:dyDescent="0.2">
      <c r="A154" s="22" t="s">
        <v>143</v>
      </c>
      <c r="B154" s="30"/>
      <c r="C154" s="23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9"/>
      <c r="AB154" s="9"/>
      <c r="AC154" s="9"/>
      <c r="AD154" s="9"/>
    </row>
    <row r="155" spans="1:30" ht="16" customHeight="1" x14ac:dyDescent="0.2">
      <c r="A155" s="20"/>
      <c r="B155" s="20"/>
      <c r="C155" s="12"/>
      <c r="D155" s="12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9"/>
      <c r="AB155" s="9"/>
      <c r="AC155" s="9"/>
      <c r="AD155" s="9"/>
    </row>
    <row r="156" spans="1:30" ht="16" customHeight="1" x14ac:dyDescent="0.2">
      <c r="A156" s="24">
        <v>45071</v>
      </c>
      <c r="B156" s="25"/>
      <c r="C156" s="17" t="s">
        <v>80</v>
      </c>
      <c r="D156" s="15"/>
      <c r="E156" s="28" t="s">
        <v>98</v>
      </c>
      <c r="F156" s="10" t="s">
        <v>144</v>
      </c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9"/>
      <c r="AB156" s="9"/>
      <c r="AC156" s="9"/>
      <c r="AD156" s="9"/>
    </row>
    <row r="157" spans="1:30" ht="16" customHeight="1" x14ac:dyDescent="0.2">
      <c r="A157" s="7"/>
      <c r="B157" s="25"/>
      <c r="C157" s="17" t="s">
        <v>87</v>
      </c>
      <c r="D157" s="15"/>
      <c r="E157" s="23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9"/>
      <c r="AB157" s="9"/>
      <c r="AC157" s="9"/>
      <c r="AD157" s="9"/>
    </row>
    <row r="158" spans="1:30" ht="16" customHeight="1" x14ac:dyDescent="0.2">
      <c r="A158" s="7"/>
      <c r="B158" s="7"/>
      <c r="C158" s="27"/>
      <c r="D158" s="2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9"/>
      <c r="AB158" s="9"/>
      <c r="AC158" s="9"/>
      <c r="AD158" s="9"/>
    </row>
    <row r="159" spans="1:30" ht="16" customHeight="1" x14ac:dyDescent="0.2">
      <c r="A159" s="24">
        <v>45076</v>
      </c>
      <c r="B159" s="25"/>
      <c r="C159" s="17" t="s">
        <v>80</v>
      </c>
      <c r="D159" s="15"/>
      <c r="E159" s="28" t="s">
        <v>98</v>
      </c>
      <c r="F159" s="10" t="s">
        <v>145</v>
      </c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9"/>
      <c r="AB159" s="9"/>
      <c r="AC159" s="9"/>
      <c r="AD159" s="9"/>
    </row>
    <row r="160" spans="1:30" ht="16" customHeight="1" x14ac:dyDescent="0.2">
      <c r="A160" s="7"/>
      <c r="B160" s="25"/>
      <c r="C160" s="17" t="s">
        <v>83</v>
      </c>
      <c r="D160" s="15"/>
      <c r="E160" s="23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9"/>
      <c r="AB160" s="9"/>
      <c r="AC160" s="9"/>
      <c r="AD160" s="9"/>
    </row>
    <row r="161" spans="1:30" ht="16" customHeight="1" x14ac:dyDescent="0.2">
      <c r="A161" s="7"/>
      <c r="B161" s="7"/>
      <c r="C161" s="27"/>
      <c r="D161" s="2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9"/>
      <c r="AB161" s="9"/>
      <c r="AC161" s="9"/>
      <c r="AD161" s="9"/>
    </row>
    <row r="162" spans="1:30" ht="16" customHeight="1" x14ac:dyDescent="0.2">
      <c r="A162" s="24">
        <v>45085</v>
      </c>
      <c r="B162" s="25"/>
      <c r="C162" s="17" t="s">
        <v>80</v>
      </c>
      <c r="D162" s="15"/>
      <c r="E162" s="28" t="s">
        <v>106</v>
      </c>
      <c r="F162" s="10" t="s">
        <v>146</v>
      </c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9"/>
      <c r="AB162" s="9"/>
      <c r="AC162" s="9"/>
      <c r="AD162" s="9"/>
    </row>
    <row r="163" spans="1:30" ht="16" customHeight="1" x14ac:dyDescent="0.2">
      <c r="A163" s="7"/>
      <c r="B163" s="25"/>
      <c r="C163" s="17" t="s">
        <v>135</v>
      </c>
      <c r="D163" s="15"/>
      <c r="E163" s="23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9"/>
      <c r="AB163" s="9"/>
      <c r="AC163" s="9"/>
      <c r="AD163" s="9"/>
    </row>
    <row r="164" spans="1:30" ht="16" customHeight="1" x14ac:dyDescent="0.2">
      <c r="A164" s="7"/>
      <c r="B164" s="25"/>
      <c r="C164" s="17" t="s">
        <v>83</v>
      </c>
      <c r="D164" s="15"/>
      <c r="E164" s="23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9"/>
      <c r="AB164" s="9"/>
      <c r="AC164" s="9"/>
      <c r="AD164" s="9"/>
    </row>
    <row r="165" spans="1:30" ht="16" customHeight="1" x14ac:dyDescent="0.2">
      <c r="A165" s="7"/>
      <c r="B165" s="7"/>
      <c r="C165" s="27"/>
      <c r="D165" s="2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9"/>
      <c r="AB165" s="9"/>
      <c r="AC165" s="9"/>
      <c r="AD165" s="9"/>
    </row>
    <row r="166" spans="1:30" ht="16" customHeight="1" x14ac:dyDescent="0.2">
      <c r="A166" s="24">
        <v>45092</v>
      </c>
      <c r="B166" s="25"/>
      <c r="C166" s="17" t="s">
        <v>80</v>
      </c>
      <c r="D166" s="15"/>
      <c r="E166" s="28" t="s">
        <v>147</v>
      </c>
      <c r="F166" s="10" t="s">
        <v>148</v>
      </c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9"/>
      <c r="AB166" s="9"/>
      <c r="AC166" s="9"/>
      <c r="AD166" s="9"/>
    </row>
    <row r="167" spans="1:30" ht="16" customHeight="1" x14ac:dyDescent="0.2">
      <c r="A167" s="7"/>
      <c r="B167" s="25"/>
      <c r="C167" s="33" t="s">
        <v>149</v>
      </c>
      <c r="D167" s="34"/>
      <c r="E167" s="23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9"/>
      <c r="AB167" s="9"/>
      <c r="AC167" s="9"/>
      <c r="AD167" s="9"/>
    </row>
  </sheetData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Foglio1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Matteo Cutroni</cp:lastModifiedBy>
  <dcterms:modified xsi:type="dcterms:W3CDTF">2025-11-18T23:10:18Z</dcterms:modified>
</cp:coreProperties>
</file>